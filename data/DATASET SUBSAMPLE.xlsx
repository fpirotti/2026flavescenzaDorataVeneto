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/Library/CloudStorage/GoogleDrive-alice.stiletto@unipd.it/Il mio Drive/RISCHIO/FLAVESCENZA_OK/FLAVESCENZA/Ricerca_2025/INCONTRO CON CATELAN- STOPPA/"/>
    </mc:Choice>
  </mc:AlternateContent>
  <xr:revisionPtr revIDLastSave="0" documentId="13_ncr:1_{8794DA01-334F-9444-B676-6C93F7811821}" xr6:coauthVersionLast="47" xr6:coauthVersionMax="47" xr10:uidLastSave="{00000000-0000-0000-0000-000000000000}"/>
  <bookViews>
    <workbookView xWindow="0" yWindow="680" windowWidth="24860" windowHeight="15960" activeTab="1" xr2:uid="{8CBDB336-8A1B-2C40-9491-AA80A458FEEE}"/>
  </bookViews>
  <sheets>
    <sheet name="Foglio1" sheetId="1" r:id="rId1"/>
    <sheet name="legen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Z2" i="1" s="1"/>
  <c r="T2" i="1"/>
  <c r="X101" i="1"/>
  <c r="Y101" i="1" s="1"/>
  <c r="U101" i="1"/>
  <c r="AA101" i="1" s="1"/>
  <c r="T101" i="1"/>
  <c r="X100" i="1"/>
  <c r="Y100" i="1" s="1"/>
  <c r="U100" i="1"/>
  <c r="AA100" i="1" s="1"/>
  <c r="T100" i="1"/>
  <c r="X99" i="1"/>
  <c r="Y99" i="1" s="1"/>
  <c r="U99" i="1"/>
  <c r="AA99" i="1" s="1"/>
  <c r="T99" i="1"/>
  <c r="X98" i="1"/>
  <c r="Y98" i="1" s="1"/>
  <c r="U98" i="1"/>
  <c r="AA98" i="1" s="1"/>
  <c r="T98" i="1"/>
  <c r="X97" i="1"/>
  <c r="Y97" i="1" s="1"/>
  <c r="U97" i="1"/>
  <c r="Z97" i="1" s="1"/>
  <c r="T97" i="1"/>
  <c r="X96" i="1"/>
  <c r="Y96" i="1" s="1"/>
  <c r="U96" i="1"/>
  <c r="Z96" i="1" s="1"/>
  <c r="T96" i="1"/>
  <c r="X95" i="1"/>
  <c r="Y95" i="1" s="1"/>
  <c r="U95" i="1"/>
  <c r="AA95" i="1" s="1"/>
  <c r="T95" i="1"/>
  <c r="X94" i="1"/>
  <c r="Y94" i="1" s="1"/>
  <c r="U94" i="1"/>
  <c r="AA94" i="1" s="1"/>
  <c r="T94" i="1"/>
  <c r="X93" i="1"/>
  <c r="Y93" i="1" s="1"/>
  <c r="U93" i="1"/>
  <c r="AA93" i="1" s="1"/>
  <c r="T93" i="1"/>
  <c r="X92" i="1"/>
  <c r="Y92" i="1" s="1"/>
  <c r="U92" i="1"/>
  <c r="Z92" i="1" s="1"/>
  <c r="T92" i="1"/>
  <c r="X91" i="1"/>
  <c r="Y91" i="1" s="1"/>
  <c r="U91" i="1"/>
  <c r="AA91" i="1" s="1"/>
  <c r="T91" i="1"/>
  <c r="X90" i="1"/>
  <c r="Y90" i="1" s="1"/>
  <c r="U90" i="1"/>
  <c r="Z90" i="1" s="1"/>
  <c r="T90" i="1"/>
  <c r="X89" i="1"/>
  <c r="Y89" i="1" s="1"/>
  <c r="U89" i="1"/>
  <c r="AA89" i="1" s="1"/>
  <c r="T89" i="1"/>
  <c r="X88" i="1"/>
  <c r="Y88" i="1" s="1"/>
  <c r="U88" i="1"/>
  <c r="AA88" i="1" s="1"/>
  <c r="T88" i="1"/>
  <c r="X87" i="1"/>
  <c r="Y87" i="1" s="1"/>
  <c r="U87" i="1"/>
  <c r="Z87" i="1" s="1"/>
  <c r="T87" i="1"/>
  <c r="X86" i="1"/>
  <c r="Y86" i="1" s="1"/>
  <c r="U86" i="1"/>
  <c r="AA86" i="1" s="1"/>
  <c r="T86" i="1"/>
  <c r="X85" i="1"/>
  <c r="Y85" i="1" s="1"/>
  <c r="U85" i="1"/>
  <c r="AA85" i="1" s="1"/>
  <c r="T85" i="1"/>
  <c r="X84" i="1"/>
  <c r="Y84" i="1" s="1"/>
  <c r="U84" i="1"/>
  <c r="AA84" i="1" s="1"/>
  <c r="T84" i="1"/>
  <c r="X83" i="1"/>
  <c r="Y83" i="1" s="1"/>
  <c r="U83" i="1"/>
  <c r="AA83" i="1" s="1"/>
  <c r="T83" i="1"/>
  <c r="X82" i="1"/>
  <c r="Y82" i="1" s="1"/>
  <c r="U82" i="1"/>
  <c r="Z82" i="1" s="1"/>
  <c r="T82" i="1"/>
  <c r="X81" i="1"/>
  <c r="Y81" i="1" s="1"/>
  <c r="U81" i="1"/>
  <c r="AA81" i="1" s="1"/>
  <c r="T81" i="1"/>
  <c r="X80" i="1"/>
  <c r="Y80" i="1" s="1"/>
  <c r="U80" i="1"/>
  <c r="Z80" i="1" s="1"/>
  <c r="T80" i="1"/>
  <c r="X79" i="1"/>
  <c r="Y79" i="1" s="1"/>
  <c r="U79" i="1"/>
  <c r="AA79" i="1" s="1"/>
  <c r="T79" i="1"/>
  <c r="X78" i="1"/>
  <c r="Y78" i="1" s="1"/>
  <c r="U78" i="1"/>
  <c r="Z78" i="1" s="1"/>
  <c r="T78" i="1"/>
  <c r="X77" i="1"/>
  <c r="Y77" i="1" s="1"/>
  <c r="U77" i="1"/>
  <c r="Z77" i="1" s="1"/>
  <c r="T77" i="1"/>
  <c r="X76" i="1"/>
  <c r="Y76" i="1" s="1"/>
  <c r="U76" i="1"/>
  <c r="AA76" i="1" s="1"/>
  <c r="T76" i="1"/>
  <c r="X75" i="1"/>
  <c r="Y75" i="1" s="1"/>
  <c r="U75" i="1"/>
  <c r="Z75" i="1" s="1"/>
  <c r="T75" i="1"/>
  <c r="X74" i="1"/>
  <c r="Y74" i="1" s="1"/>
  <c r="U74" i="1"/>
  <c r="AA74" i="1" s="1"/>
  <c r="T74" i="1"/>
  <c r="X73" i="1"/>
  <c r="Y73" i="1" s="1"/>
  <c r="U73" i="1"/>
  <c r="AA73" i="1" s="1"/>
  <c r="T73" i="1"/>
  <c r="X72" i="1"/>
  <c r="Y72" i="1" s="1"/>
  <c r="U72" i="1"/>
  <c r="Z72" i="1" s="1"/>
  <c r="T72" i="1"/>
  <c r="X71" i="1"/>
  <c r="Y71" i="1" s="1"/>
  <c r="U71" i="1"/>
  <c r="AA71" i="1" s="1"/>
  <c r="T71" i="1"/>
  <c r="X70" i="1"/>
  <c r="Y70" i="1" s="1"/>
  <c r="U70" i="1"/>
  <c r="Z70" i="1" s="1"/>
  <c r="T70" i="1"/>
  <c r="X69" i="1"/>
  <c r="Y69" i="1" s="1"/>
  <c r="U69" i="1"/>
  <c r="AA69" i="1" s="1"/>
  <c r="T69" i="1"/>
  <c r="X68" i="1"/>
  <c r="Y68" i="1" s="1"/>
  <c r="U68" i="1"/>
  <c r="AA68" i="1" s="1"/>
  <c r="T68" i="1"/>
  <c r="X67" i="1"/>
  <c r="Y67" i="1" s="1"/>
  <c r="U67" i="1"/>
  <c r="AA67" i="1" s="1"/>
  <c r="T67" i="1"/>
  <c r="X66" i="1"/>
  <c r="Y66" i="1" s="1"/>
  <c r="U66" i="1"/>
  <c r="AA66" i="1" s="1"/>
  <c r="T66" i="1"/>
  <c r="X65" i="1"/>
  <c r="Y65" i="1" s="1"/>
  <c r="U65" i="1"/>
  <c r="AA65" i="1" s="1"/>
  <c r="T65" i="1"/>
  <c r="X64" i="1"/>
  <c r="Y64" i="1" s="1"/>
  <c r="U64" i="1"/>
  <c r="AA64" i="1" s="1"/>
  <c r="T64" i="1"/>
  <c r="X63" i="1"/>
  <c r="Y63" i="1" s="1"/>
  <c r="U63" i="1"/>
  <c r="AA63" i="1" s="1"/>
  <c r="T63" i="1"/>
  <c r="X62" i="1"/>
  <c r="Y62" i="1" s="1"/>
  <c r="U62" i="1"/>
  <c r="Z62" i="1" s="1"/>
  <c r="T62" i="1"/>
  <c r="X61" i="1"/>
  <c r="Y61" i="1" s="1"/>
  <c r="U61" i="1"/>
  <c r="AA61" i="1" s="1"/>
  <c r="T61" i="1"/>
  <c r="X60" i="1"/>
  <c r="Y60" i="1" s="1"/>
  <c r="U60" i="1"/>
  <c r="Z60" i="1" s="1"/>
  <c r="T60" i="1"/>
  <c r="X59" i="1"/>
  <c r="Y59" i="1" s="1"/>
  <c r="U59" i="1"/>
  <c r="AA59" i="1" s="1"/>
  <c r="T59" i="1"/>
  <c r="X58" i="1"/>
  <c r="Y58" i="1" s="1"/>
  <c r="U58" i="1"/>
  <c r="Z58" i="1" s="1"/>
  <c r="T58" i="1"/>
  <c r="X57" i="1"/>
  <c r="Y57" i="1" s="1"/>
  <c r="U57" i="1"/>
  <c r="AA57" i="1" s="1"/>
  <c r="T57" i="1"/>
  <c r="X56" i="1"/>
  <c r="Y56" i="1" s="1"/>
  <c r="U56" i="1"/>
  <c r="Z56" i="1" s="1"/>
  <c r="T56" i="1"/>
  <c r="X55" i="1"/>
  <c r="Y55" i="1" s="1"/>
  <c r="U55" i="1"/>
  <c r="AA55" i="1" s="1"/>
  <c r="T55" i="1"/>
  <c r="X54" i="1"/>
  <c r="Y54" i="1" s="1"/>
  <c r="U54" i="1"/>
  <c r="AA54" i="1" s="1"/>
  <c r="T54" i="1"/>
  <c r="X53" i="1"/>
  <c r="Y53" i="1" s="1"/>
  <c r="U53" i="1"/>
  <c r="AA53" i="1" s="1"/>
  <c r="T53" i="1"/>
  <c r="X52" i="1"/>
  <c r="Y52" i="1" s="1"/>
  <c r="U52" i="1"/>
  <c r="Z52" i="1" s="1"/>
  <c r="T52" i="1"/>
  <c r="X51" i="1"/>
  <c r="Y51" i="1" s="1"/>
  <c r="U51" i="1"/>
  <c r="AA51" i="1" s="1"/>
  <c r="T51" i="1"/>
  <c r="X50" i="1"/>
  <c r="Y50" i="1" s="1"/>
  <c r="U50" i="1"/>
  <c r="Z50" i="1" s="1"/>
  <c r="T50" i="1"/>
  <c r="X49" i="1"/>
  <c r="Y49" i="1" s="1"/>
  <c r="U49" i="1"/>
  <c r="AA49" i="1" s="1"/>
  <c r="T49" i="1"/>
  <c r="X48" i="1"/>
  <c r="Y48" i="1" s="1"/>
  <c r="U48" i="1"/>
  <c r="Z48" i="1" s="1"/>
  <c r="T48" i="1"/>
  <c r="X47" i="1"/>
  <c r="Y47" i="1" s="1"/>
  <c r="U47" i="1"/>
  <c r="AA47" i="1" s="1"/>
  <c r="T47" i="1"/>
  <c r="X46" i="1"/>
  <c r="Y46" i="1" s="1"/>
  <c r="U46" i="1"/>
  <c r="AA46" i="1" s="1"/>
  <c r="T46" i="1"/>
  <c r="X45" i="1"/>
  <c r="Y45" i="1" s="1"/>
  <c r="U45" i="1"/>
  <c r="AA45" i="1" s="1"/>
  <c r="T45" i="1"/>
  <c r="X44" i="1"/>
  <c r="Y44" i="1" s="1"/>
  <c r="U44" i="1"/>
  <c r="AA44" i="1" s="1"/>
  <c r="T44" i="1"/>
  <c r="X43" i="1"/>
  <c r="Y43" i="1" s="1"/>
  <c r="U43" i="1"/>
  <c r="AA43" i="1" s="1"/>
  <c r="T43" i="1"/>
  <c r="X42" i="1"/>
  <c r="Y42" i="1" s="1"/>
  <c r="U42" i="1"/>
  <c r="Z42" i="1" s="1"/>
  <c r="T42" i="1"/>
  <c r="X41" i="1"/>
  <c r="Y41" i="1" s="1"/>
  <c r="U41" i="1"/>
  <c r="AA41" i="1" s="1"/>
  <c r="T41" i="1"/>
  <c r="X40" i="1"/>
  <c r="Y40" i="1" s="1"/>
  <c r="U40" i="1"/>
  <c r="Z40" i="1" s="1"/>
  <c r="T40" i="1"/>
  <c r="X39" i="1"/>
  <c r="Y39" i="1" s="1"/>
  <c r="U39" i="1"/>
  <c r="AA39" i="1" s="1"/>
  <c r="T39" i="1"/>
  <c r="X38" i="1"/>
  <c r="Y38" i="1" s="1"/>
  <c r="U38" i="1"/>
  <c r="Z38" i="1" s="1"/>
  <c r="T38" i="1"/>
  <c r="X37" i="1"/>
  <c r="Y37" i="1" s="1"/>
  <c r="U37" i="1"/>
  <c r="AA37" i="1" s="1"/>
  <c r="T37" i="1"/>
  <c r="X36" i="1"/>
  <c r="Y36" i="1" s="1"/>
  <c r="U36" i="1"/>
  <c r="AA36" i="1" s="1"/>
  <c r="T36" i="1"/>
  <c r="X35" i="1"/>
  <c r="Y35" i="1" s="1"/>
  <c r="U35" i="1"/>
  <c r="Z35" i="1" s="1"/>
  <c r="T35" i="1"/>
  <c r="X34" i="1"/>
  <c r="Y34" i="1" s="1"/>
  <c r="U34" i="1"/>
  <c r="AA34" i="1" s="1"/>
  <c r="T34" i="1"/>
  <c r="X33" i="1"/>
  <c r="Y33" i="1" s="1"/>
  <c r="U33" i="1"/>
  <c r="AA33" i="1" s="1"/>
  <c r="T33" i="1"/>
  <c r="X32" i="1"/>
  <c r="Y32" i="1" s="1"/>
  <c r="U32" i="1"/>
  <c r="Z32" i="1" s="1"/>
  <c r="T32" i="1"/>
  <c r="X31" i="1"/>
  <c r="Y31" i="1" s="1"/>
  <c r="U31" i="1"/>
  <c r="AA31" i="1" s="1"/>
  <c r="T31" i="1"/>
  <c r="X30" i="1"/>
  <c r="Y30" i="1" s="1"/>
  <c r="U30" i="1"/>
  <c r="Z30" i="1" s="1"/>
  <c r="T30" i="1"/>
  <c r="X29" i="1"/>
  <c r="Y29" i="1" s="1"/>
  <c r="U29" i="1"/>
  <c r="AA29" i="1" s="1"/>
  <c r="T29" i="1"/>
  <c r="X28" i="1"/>
  <c r="Y28" i="1" s="1"/>
  <c r="U28" i="1"/>
  <c r="Z28" i="1" s="1"/>
  <c r="T28" i="1"/>
  <c r="X27" i="1"/>
  <c r="Y27" i="1" s="1"/>
  <c r="U27" i="1"/>
  <c r="AA27" i="1" s="1"/>
  <c r="T27" i="1"/>
  <c r="X26" i="1"/>
  <c r="Y26" i="1" s="1"/>
  <c r="U26" i="1"/>
  <c r="AA26" i="1" s="1"/>
  <c r="T26" i="1"/>
  <c r="X25" i="1"/>
  <c r="Y25" i="1" s="1"/>
  <c r="U25" i="1"/>
  <c r="AA25" i="1" s="1"/>
  <c r="T25" i="1"/>
  <c r="X24" i="1"/>
  <c r="Y24" i="1" s="1"/>
  <c r="U24" i="1"/>
  <c r="AA24" i="1" s="1"/>
  <c r="T24" i="1"/>
  <c r="X23" i="1"/>
  <c r="Y23" i="1" s="1"/>
  <c r="U23" i="1"/>
  <c r="AA23" i="1" s="1"/>
  <c r="T23" i="1"/>
  <c r="X22" i="1"/>
  <c r="Y22" i="1" s="1"/>
  <c r="U22" i="1"/>
  <c r="Z22" i="1" s="1"/>
  <c r="T22" i="1"/>
  <c r="X21" i="1"/>
  <c r="Y21" i="1" s="1"/>
  <c r="U21" i="1"/>
  <c r="AA21" i="1" s="1"/>
  <c r="T21" i="1"/>
  <c r="X20" i="1"/>
  <c r="Y20" i="1" s="1"/>
  <c r="U20" i="1"/>
  <c r="Z20" i="1" s="1"/>
  <c r="T20" i="1"/>
  <c r="X19" i="1"/>
  <c r="Y19" i="1" s="1"/>
  <c r="U19" i="1"/>
  <c r="AA19" i="1" s="1"/>
  <c r="T19" i="1"/>
  <c r="X18" i="1"/>
  <c r="Y18" i="1" s="1"/>
  <c r="U18" i="1"/>
  <c r="AA18" i="1" s="1"/>
  <c r="T18" i="1"/>
  <c r="X17" i="1"/>
  <c r="Y17" i="1" s="1"/>
  <c r="U17" i="1"/>
  <c r="AA17" i="1" s="1"/>
  <c r="T17" i="1"/>
  <c r="X16" i="1"/>
  <c r="Y16" i="1" s="1"/>
  <c r="U16" i="1"/>
  <c r="Z16" i="1" s="1"/>
  <c r="T16" i="1"/>
  <c r="X15" i="1"/>
  <c r="Y15" i="1" s="1"/>
  <c r="U15" i="1"/>
  <c r="AA15" i="1" s="1"/>
  <c r="T15" i="1"/>
  <c r="X14" i="1"/>
  <c r="Y14" i="1" s="1"/>
  <c r="U14" i="1"/>
  <c r="AA14" i="1" s="1"/>
  <c r="T14" i="1"/>
  <c r="X13" i="1"/>
  <c r="Y13" i="1" s="1"/>
  <c r="U13" i="1"/>
  <c r="AA13" i="1" s="1"/>
  <c r="T13" i="1"/>
  <c r="X12" i="1"/>
  <c r="Y12" i="1" s="1"/>
  <c r="U12" i="1"/>
  <c r="Z12" i="1" s="1"/>
  <c r="T12" i="1"/>
  <c r="X11" i="1"/>
  <c r="Y11" i="1" s="1"/>
  <c r="U11" i="1"/>
  <c r="AA11" i="1" s="1"/>
  <c r="T11" i="1"/>
  <c r="X10" i="1"/>
  <c r="Y10" i="1" s="1"/>
  <c r="U10" i="1"/>
  <c r="Z10" i="1" s="1"/>
  <c r="T10" i="1"/>
  <c r="X9" i="1"/>
  <c r="Y9" i="1" s="1"/>
  <c r="U9" i="1"/>
  <c r="AA9" i="1" s="1"/>
  <c r="T9" i="1"/>
  <c r="X8" i="1"/>
  <c r="Y8" i="1" s="1"/>
  <c r="U8" i="1"/>
  <c r="AA8" i="1" s="1"/>
  <c r="T8" i="1"/>
  <c r="X7" i="1"/>
  <c r="Y7" i="1" s="1"/>
  <c r="U7" i="1"/>
  <c r="AA7" i="1" s="1"/>
  <c r="T7" i="1"/>
  <c r="X6" i="1"/>
  <c r="Y6" i="1" s="1"/>
  <c r="U6" i="1"/>
  <c r="AA6" i="1" s="1"/>
  <c r="T6" i="1"/>
  <c r="X5" i="1"/>
  <c r="Y5" i="1" s="1"/>
  <c r="U5" i="1"/>
  <c r="AA5" i="1" s="1"/>
  <c r="T5" i="1"/>
  <c r="X4" i="1"/>
  <c r="Y4" i="1" s="1"/>
  <c r="U4" i="1"/>
  <c r="AA4" i="1" s="1"/>
  <c r="T4" i="1"/>
  <c r="X3" i="1"/>
  <c r="Y3" i="1" s="1"/>
  <c r="U3" i="1"/>
  <c r="AA3" i="1" s="1"/>
  <c r="T3" i="1"/>
  <c r="X2" i="1"/>
  <c r="Y2" i="1" s="1"/>
  <c r="Z86" i="1" l="1"/>
  <c r="Z27" i="1"/>
  <c r="AA48" i="1"/>
  <c r="AA56" i="1"/>
  <c r="AA77" i="1"/>
  <c r="AA96" i="1"/>
  <c r="Z55" i="1"/>
  <c r="AA60" i="1"/>
  <c r="Z68" i="1"/>
  <c r="Z9" i="1"/>
  <c r="Z49" i="1"/>
  <c r="AA16" i="1"/>
  <c r="AA28" i="1"/>
  <c r="Z67" i="1"/>
  <c r="AA35" i="1"/>
  <c r="Z46" i="1"/>
  <c r="AA75" i="1"/>
  <c r="AA80" i="1"/>
  <c r="AA87" i="1"/>
  <c r="Z26" i="1"/>
  <c r="Z95" i="1"/>
  <c r="Z8" i="1"/>
  <c r="Z36" i="1"/>
  <c r="Z66" i="1"/>
  <c r="Z76" i="1"/>
  <c r="Z17" i="1"/>
  <c r="Z47" i="1"/>
  <c r="Z88" i="1"/>
  <c r="Z29" i="1"/>
  <c r="AA40" i="1"/>
  <c r="AA10" i="1"/>
  <c r="Z18" i="1"/>
  <c r="AA30" i="1"/>
  <c r="Z37" i="1"/>
  <c r="AA38" i="1"/>
  <c r="AA50" i="1"/>
  <c r="Z57" i="1"/>
  <c r="AA58" i="1"/>
  <c r="AA70" i="1"/>
  <c r="AA78" i="1"/>
  <c r="AA97" i="1"/>
  <c r="AA20" i="1"/>
  <c r="Z7" i="1"/>
  <c r="Z45" i="1"/>
  <c r="Z65" i="1"/>
  <c r="Z85" i="1"/>
  <c r="Z6" i="1"/>
  <c r="Z39" i="1"/>
  <c r="Z98" i="1"/>
  <c r="Z19" i="1"/>
  <c r="AA90" i="1"/>
  <c r="AA2" i="1"/>
  <c r="Z3" i="1"/>
  <c r="AA12" i="1"/>
  <c r="Z13" i="1"/>
  <c r="AA22" i="1"/>
  <c r="Z23" i="1"/>
  <c r="AA32" i="1"/>
  <c r="Z33" i="1"/>
  <c r="AA42" i="1"/>
  <c r="Z43" i="1"/>
  <c r="AA52" i="1"/>
  <c r="Z53" i="1"/>
  <c r="AA62" i="1"/>
  <c r="Z63" i="1"/>
  <c r="AA72" i="1"/>
  <c r="Z73" i="1"/>
  <c r="AA82" i="1"/>
  <c r="Z83" i="1"/>
  <c r="AA92" i="1"/>
  <c r="Z93" i="1"/>
  <c r="Z4" i="1"/>
  <c r="Z14" i="1"/>
  <c r="Z24" i="1"/>
  <c r="Z34" i="1"/>
  <c r="Z44" i="1"/>
  <c r="Z54" i="1"/>
  <c r="Z64" i="1"/>
  <c r="Z74" i="1"/>
  <c r="Z84" i="1"/>
  <c r="Z94" i="1"/>
  <c r="Z5" i="1"/>
  <c r="Z15" i="1"/>
  <c r="Z25" i="1"/>
  <c r="Z59" i="1"/>
  <c r="Z69" i="1"/>
  <c r="Z79" i="1"/>
  <c r="Z89" i="1"/>
  <c r="Z99" i="1"/>
  <c r="Z100" i="1"/>
  <c r="Z11" i="1"/>
  <c r="Z21" i="1"/>
  <c r="Z31" i="1"/>
  <c r="Z41" i="1"/>
  <c r="Z51" i="1"/>
  <c r="Z61" i="1"/>
  <c r="Z71" i="1"/>
  <c r="Z81" i="1"/>
  <c r="Z91" i="1"/>
  <c r="Z101" i="1"/>
</calcChain>
</file>

<file path=xl/sharedStrings.xml><?xml version="1.0" encoding="utf-8"?>
<sst xmlns="http://schemas.openxmlformats.org/spreadsheetml/2006/main" count="1175" uniqueCount="285">
  <si>
    <t>Nome</t>
  </si>
  <si>
    <t>Provincia</t>
  </si>
  <si>
    <t>Comune</t>
  </si>
  <si>
    <t>varietà</t>
  </si>
  <si>
    <t>Fallanze</t>
  </si>
  <si>
    <t>Barbatelle</t>
  </si>
  <si>
    <t>CasarottiL</t>
  </si>
  <si>
    <t>VI</t>
  </si>
  <si>
    <t>Montebello Vicentino</t>
  </si>
  <si>
    <t>GARGANEGA B.</t>
  </si>
  <si>
    <t>Pergola doppia</t>
  </si>
  <si>
    <t>LucT</t>
  </si>
  <si>
    <t>VE</t>
  </si>
  <si>
    <t>GLERA B.</t>
  </si>
  <si>
    <t>Sylvoz</t>
  </si>
  <si>
    <t>TV</t>
  </si>
  <si>
    <t>Godega di Sant'Urbano</t>
  </si>
  <si>
    <t>ToninS</t>
  </si>
  <si>
    <t>Guyot</t>
  </si>
  <si>
    <t>StellaFabio</t>
  </si>
  <si>
    <t>VR</t>
  </si>
  <si>
    <t>Mezzane di Sotto</t>
  </si>
  <si>
    <t>CORVINONE N.</t>
  </si>
  <si>
    <t>Pergola</t>
  </si>
  <si>
    <t>TinazziL</t>
  </si>
  <si>
    <t>CORVINA N.</t>
  </si>
  <si>
    <t>TosoA</t>
  </si>
  <si>
    <t>MERLOT N.</t>
  </si>
  <si>
    <t>PINOT GRIGIO G.</t>
  </si>
  <si>
    <t>Cordone speronato</t>
  </si>
  <si>
    <t>CHARDONNAY B.</t>
  </si>
  <si>
    <t>VeroneseR</t>
  </si>
  <si>
    <t>Capovolto doppio</t>
  </si>
  <si>
    <t>Alonte</t>
  </si>
  <si>
    <t>In allevamento</t>
  </si>
  <si>
    <t>SinicoM</t>
  </si>
  <si>
    <t>San Bonifacio</t>
  </si>
  <si>
    <t>Guyot doppio</t>
  </si>
  <si>
    <t>BigolinM</t>
  </si>
  <si>
    <t>Fontanelle</t>
  </si>
  <si>
    <t>MentoreG</t>
  </si>
  <si>
    <t/>
  </si>
  <si>
    <t>Volpago del Montello</t>
  </si>
  <si>
    <t>BolzoniM</t>
  </si>
  <si>
    <t>PD</t>
  </si>
  <si>
    <t>Conselve</t>
  </si>
  <si>
    <t>Illasi</t>
  </si>
  <si>
    <t>Castelbaldo</t>
  </si>
  <si>
    <t>San Pietro in Cariano</t>
  </si>
  <si>
    <t>Cavaion Veronese</t>
  </si>
  <si>
    <t>Casarsa</t>
  </si>
  <si>
    <t>Sona</t>
  </si>
  <si>
    <t>TREBBIANO TOSCANO B.</t>
  </si>
  <si>
    <t>San Polo di Piave</t>
  </si>
  <si>
    <t>Montebelluna</t>
  </si>
  <si>
    <t>Cimadolmo</t>
  </si>
  <si>
    <t>Montecchia di Crosara</t>
  </si>
  <si>
    <t>Ormelle</t>
  </si>
  <si>
    <t>VanzoP</t>
  </si>
  <si>
    <t>Soave</t>
  </si>
  <si>
    <t>MazziR</t>
  </si>
  <si>
    <t>Cordignano</t>
  </si>
  <si>
    <t>San Martino Buon Albergo</t>
  </si>
  <si>
    <t>Conegliano</t>
  </si>
  <si>
    <t>Ponte di Piave</t>
  </si>
  <si>
    <t>FrancesconiG</t>
  </si>
  <si>
    <t>CABERNET FRANC N.</t>
  </si>
  <si>
    <t>Sant'Ambrogio di Valpolicella</t>
  </si>
  <si>
    <t>San Giovanni Ilarione</t>
  </si>
  <si>
    <t>Tregnago</t>
  </si>
  <si>
    <t>Annone Veneto</t>
  </si>
  <si>
    <t>Caldiero</t>
  </si>
  <si>
    <t>Due Carrare</t>
  </si>
  <si>
    <t>Sarego</t>
  </si>
  <si>
    <t>Marano di Valpolicella</t>
  </si>
  <si>
    <t>RONDINELLA N.</t>
  </si>
  <si>
    <t>Arre</t>
  </si>
  <si>
    <t>Archetto</t>
  </si>
  <si>
    <t>Lavagno</t>
  </si>
  <si>
    <t>Pieve di Soligo</t>
  </si>
  <si>
    <t>Susegana</t>
  </si>
  <si>
    <t>Negrar di Valpolicella</t>
  </si>
  <si>
    <t>Roncà</t>
  </si>
  <si>
    <t>Giavera del Montello</t>
  </si>
  <si>
    <t>Torre di Mosto</t>
  </si>
  <si>
    <t>Vo'</t>
  </si>
  <si>
    <t>Brentino Belluno</t>
  </si>
  <si>
    <t>Monteforte d'Alpone</t>
  </si>
  <si>
    <t>San Pietro di Feletto</t>
  </si>
  <si>
    <t>San Michele al Tagliamento</t>
  </si>
  <si>
    <t>Colognola ai Colli</t>
  </si>
  <si>
    <t>Cinto Euganeo</t>
  </si>
  <si>
    <t>Casale sul Sile</t>
  </si>
  <si>
    <t>CABERNET SAUVIGNON N.</t>
  </si>
  <si>
    <t>Brendola</t>
  </si>
  <si>
    <t>Cazzano di Tramigna</t>
  </si>
  <si>
    <t>Verona</t>
  </si>
  <si>
    <t>Refrontolo</t>
  </si>
  <si>
    <t>Cison di Valmarino</t>
  </si>
  <si>
    <t>Tarzo</t>
  </si>
  <si>
    <t>MOSCATO GIALLO B.</t>
  </si>
  <si>
    <t>PINOT BIANCO B.</t>
  </si>
  <si>
    <t>Lonigo</t>
  </si>
  <si>
    <t>San Vendemiano</t>
  </si>
  <si>
    <t>Baone</t>
  </si>
  <si>
    <t>MULLER THURGAU B.</t>
  </si>
  <si>
    <t>Anonimo</t>
  </si>
  <si>
    <t>Pescantina</t>
  </si>
  <si>
    <t>San Biagio di Callalta</t>
  </si>
  <si>
    <t>Preganziol</t>
  </si>
  <si>
    <t>Terrassa Padovana</t>
  </si>
  <si>
    <t>Cartura</t>
  </si>
  <si>
    <t>Cordone libero</t>
  </si>
  <si>
    <t>DURELLA B.</t>
  </si>
  <si>
    <t>Belfiore</t>
  </si>
  <si>
    <t>Bussolengo</t>
  </si>
  <si>
    <t>Caprino Veronese</t>
  </si>
  <si>
    <t>Castelnuovo del Garda</t>
  </si>
  <si>
    <t>Cologna Veneta</t>
  </si>
  <si>
    <t>Costermano sul Garda</t>
  </si>
  <si>
    <t>NicoliA</t>
  </si>
  <si>
    <t>G.D.C.</t>
  </si>
  <si>
    <t>Lazise</t>
  </si>
  <si>
    <t>Raggi o belussi</t>
  </si>
  <si>
    <t>MOSCATO BIANCO B.</t>
  </si>
  <si>
    <t>RABOSO PIAVE N.</t>
  </si>
  <si>
    <t>TOCAI FRIULANO B.</t>
  </si>
  <si>
    <t>Correzzola</t>
  </si>
  <si>
    <t>Rivoli Veronese</t>
  </si>
  <si>
    <t>MOLINARA N.</t>
  </si>
  <si>
    <t>Merlara</t>
  </si>
  <si>
    <t>Monselice</t>
  </si>
  <si>
    <t>Tribano</t>
  </si>
  <si>
    <t>CORTESE B.</t>
  </si>
  <si>
    <t>Masi</t>
  </si>
  <si>
    <t>Lozzo Atestino</t>
  </si>
  <si>
    <t>Agna</t>
  </si>
  <si>
    <t>Pianta asportata (non si sa quando) e non sostituita</t>
  </si>
  <si>
    <t xml:space="preserve">Pianta appena sostituita </t>
  </si>
  <si>
    <t xml:space="preserve">Pianta capitozzata con chioma non asportata (la pianta è stata tagliata alla base ma non tolta dal vigneto) </t>
  </si>
  <si>
    <t xml:space="preserve">Pianta capitozzata con chioma  asportata (la pianta è stata tagliata e rimossa dal vigneto) </t>
  </si>
  <si>
    <t>Codice appezzamento</t>
  </si>
  <si>
    <t>Nome rilevatore</t>
  </si>
  <si>
    <t>Data rilievo</t>
  </si>
  <si>
    <t>Forma di allevamento</t>
  </si>
  <si>
    <t>Numero piante sane</t>
  </si>
  <si>
    <t>Numero piante dell'appezzamento</t>
  </si>
  <si>
    <t>Presenza di danno fino al 25%</t>
  </si>
  <si>
    <t>Presenza di danno dal 25% al 50%</t>
  </si>
  <si>
    <t>Presenza di danno dal 50% al 75%</t>
  </si>
  <si>
    <t>Presenza di danno dal 75% al 100%</t>
  </si>
  <si>
    <t>Nome utente</t>
  </si>
  <si>
    <t>Distanza tra i filari [m]</t>
  </si>
  <si>
    <t>Distanza tra le piante [m]</t>
  </si>
  <si>
    <t>forma allevamento</t>
  </si>
  <si>
    <t>Piante capitozzate con chioma non asportata</t>
  </si>
  <si>
    <t>Piante capitozzate con chioma asportata</t>
  </si>
  <si>
    <t>Piante sane</t>
  </si>
  <si>
    <t>Piante totali effettive</t>
  </si>
  <si>
    <t>Danno 0-25%</t>
  </si>
  <si>
    <t>Danno 25-50%</t>
  </si>
  <si>
    <t>Danno 50-75%</t>
  </si>
  <si>
    <t>Danno 75-100%</t>
  </si>
  <si>
    <t>Media danno manuale</t>
  </si>
  <si>
    <t>Danno</t>
  </si>
  <si>
    <t>Lat</t>
  </si>
  <si>
    <t>Lon</t>
  </si>
  <si>
    <t>sesto impianto mq (calc SC)</t>
  </si>
  <si>
    <t>superficie rilevata mq (calc SC)</t>
  </si>
  <si>
    <t>DANNO</t>
  </si>
  <si>
    <t>4266876</t>
  </si>
  <si>
    <t>4805867</t>
  </si>
  <si>
    <t>856160</t>
  </si>
  <si>
    <t>206762</t>
  </si>
  <si>
    <t>696411</t>
  </si>
  <si>
    <t>21591</t>
  </si>
  <si>
    <t>21332</t>
  </si>
  <si>
    <t>21331</t>
  </si>
  <si>
    <t>1018181</t>
  </si>
  <si>
    <t>6916259</t>
  </si>
  <si>
    <t>Galzignano Terme</t>
  </si>
  <si>
    <t>6853325</t>
  </si>
  <si>
    <t>6866517</t>
  </si>
  <si>
    <t>4434845</t>
  </si>
  <si>
    <t>445273</t>
  </si>
  <si>
    <t>773157</t>
  </si>
  <si>
    <t>539752</t>
  </si>
  <si>
    <t>4434697</t>
  </si>
  <si>
    <t>8862</t>
  </si>
  <si>
    <t>443196</t>
  </si>
  <si>
    <t>645382</t>
  </si>
  <si>
    <t>339279</t>
  </si>
  <si>
    <t>705154</t>
  </si>
  <si>
    <t>175423</t>
  </si>
  <si>
    <t>126058</t>
  </si>
  <si>
    <t>126059</t>
  </si>
  <si>
    <t>867270</t>
  </si>
  <si>
    <t>6846848</t>
  </si>
  <si>
    <t>831943</t>
  </si>
  <si>
    <t>4462018</t>
  </si>
  <si>
    <t>784781</t>
  </si>
  <si>
    <t>1063453</t>
  </si>
  <si>
    <t>Rovolon</t>
  </si>
  <si>
    <t>6916012</t>
  </si>
  <si>
    <t>4612187</t>
  </si>
  <si>
    <t>7374529</t>
  </si>
  <si>
    <t>Teolo</t>
  </si>
  <si>
    <t>462421</t>
  </si>
  <si>
    <t>6916121</t>
  </si>
  <si>
    <t>4686371</t>
  </si>
  <si>
    <t>653935</t>
  </si>
  <si>
    <t>Torreglia</t>
  </si>
  <si>
    <t>863706</t>
  </si>
  <si>
    <t>973124</t>
  </si>
  <si>
    <t>201228</t>
  </si>
  <si>
    <t>201222</t>
  </si>
  <si>
    <t>2932531</t>
  </si>
  <si>
    <t>6916207</t>
  </si>
  <si>
    <t>349950</t>
  </si>
  <si>
    <t>123137</t>
  </si>
  <si>
    <t>534751</t>
  </si>
  <si>
    <t>845749</t>
  </si>
  <si>
    <t>836258</t>
  </si>
  <si>
    <t>106297</t>
  </si>
  <si>
    <t>586992</t>
  </si>
  <si>
    <t>894531</t>
  </si>
  <si>
    <t>443197</t>
  </si>
  <si>
    <t>1062891</t>
  </si>
  <si>
    <t>890053</t>
  </si>
  <si>
    <t>6916549</t>
  </si>
  <si>
    <t>1013852</t>
  </si>
  <si>
    <t>474644</t>
  </si>
  <si>
    <t>6916239</t>
  </si>
  <si>
    <t>6916347</t>
  </si>
  <si>
    <t>6916161</t>
  </si>
  <si>
    <t>464897</t>
  </si>
  <si>
    <t>969124</t>
  </si>
  <si>
    <t>649828</t>
  </si>
  <si>
    <t>6917685</t>
  </si>
  <si>
    <t>6917140</t>
  </si>
  <si>
    <t>641768</t>
  </si>
  <si>
    <t>709569</t>
  </si>
  <si>
    <t>988463</t>
  </si>
  <si>
    <t>928015</t>
  </si>
  <si>
    <t>289623</t>
  </si>
  <si>
    <t>174340</t>
  </si>
  <si>
    <t>6917790</t>
  </si>
  <si>
    <t>519442</t>
  </si>
  <si>
    <t>714656</t>
  </si>
  <si>
    <t>519454</t>
  </si>
  <si>
    <t>645353</t>
  </si>
  <si>
    <t>179988</t>
  </si>
  <si>
    <t>262536</t>
  </si>
  <si>
    <t>237346</t>
  </si>
  <si>
    <t>237362</t>
  </si>
  <si>
    <t>237351</t>
  </si>
  <si>
    <t>237320</t>
  </si>
  <si>
    <t>851153</t>
  </si>
  <si>
    <t>854781</t>
  </si>
  <si>
    <t>6918919</t>
  </si>
  <si>
    <t>973095</t>
  </si>
  <si>
    <t>4787943</t>
  </si>
  <si>
    <t>6914906</t>
  </si>
  <si>
    <t>166737</t>
  </si>
  <si>
    <t>237369</t>
  </si>
  <si>
    <t>458182</t>
  </si>
  <si>
    <t>724464</t>
  </si>
  <si>
    <t>4036041</t>
  </si>
  <si>
    <t>4036055</t>
  </si>
  <si>
    <t>1096341</t>
  </si>
  <si>
    <t>262808</t>
  </si>
  <si>
    <t>971206</t>
  </si>
  <si>
    <t>1315592</t>
  </si>
  <si>
    <t>539268</t>
  </si>
  <si>
    <t>Distanza  fra i filari (m)</t>
  </si>
  <si>
    <t xml:space="preserve">Distanza  fra le piante (m) </t>
  </si>
  <si>
    <t>Giallumi</t>
  </si>
  <si>
    <t>Latitudine</t>
  </si>
  <si>
    <t>Longitudine</t>
  </si>
  <si>
    <t>Sesto d'impianto</t>
  </si>
  <si>
    <t>Presenza di giallumi (se c'è danno =1; altrimenti 0)</t>
  </si>
  <si>
    <t>Danno utile per fondo mutualistico, calcolato come piante con danno + capitozzate / piante totali effettive</t>
  </si>
  <si>
    <t>Nome variabile</t>
  </si>
  <si>
    <t>Descrizione</t>
  </si>
  <si>
    <t>Danno calcolato come media pesata del danno presente nell'appezzamento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</si>
</sst>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0" fillId="0" borderId="2" xfId="0" applyBorder="1"/>
    <xf numFmtId="0" fontId="3" fillId="2" borderId="3" xfId="0" applyFont="1" applyFill="1" applyBorder="1"/>
    <xf numFmtId="0" fontId="2" fillId="0" borderId="2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8B91-E31C-9741-844B-F373E1B4CC37}">
  <dimension ref="A1:AA2954"/>
  <sheetViews>
    <sheetView topLeftCell="V1" workbookViewId="0">
      <selection activeCell="AC5" sqref="AC5"/>
    </sheetView>
  </sheetViews>
  <sheetFormatPr baseColWidth="10" defaultRowHeight="16" x14ac:dyDescent="0.2"/>
  <cols>
    <col min="1" max="1" width="8.1640625" bestFit="1" customWidth="1"/>
    <col min="2" max="2" width="12.5" bestFit="1" customWidth="1"/>
    <col min="3" max="3" width="10.1640625" bestFit="1" customWidth="1"/>
    <col min="4" max="4" width="8.6640625" bestFit="1" customWidth="1"/>
    <col min="5" max="5" width="24.6640625" bestFit="1" customWidth="1"/>
    <col min="6" max="6" width="22.83203125" bestFit="1" customWidth="1"/>
    <col min="7" max="7" width="16.5" bestFit="1" customWidth="1"/>
    <col min="8" max="8" width="19" bestFit="1" customWidth="1"/>
    <col min="9" max="9" width="19.5" bestFit="1" customWidth="1"/>
    <col min="10" max="10" width="8" bestFit="1" customWidth="1"/>
    <col min="11" max="11" width="9.6640625" bestFit="1" customWidth="1"/>
    <col min="12" max="12" width="31.1640625" bestFit="1" customWidth="1"/>
    <col min="13" max="13" width="30.5" bestFit="1" customWidth="1"/>
    <col min="14" max="14" width="10.1640625" bestFit="1" customWidth="1"/>
    <col min="15" max="15" width="17.5" bestFit="1" customWidth="1"/>
    <col min="16" max="16" width="9.5" bestFit="1" customWidth="1"/>
    <col min="17" max="18" width="10.5" bestFit="1" customWidth="1"/>
    <col min="19" max="19" width="11.5" bestFit="1" customWidth="1"/>
    <col min="24" max="24" width="22.1640625" bestFit="1" customWidth="1"/>
    <col min="25" max="25" width="24.6640625" bestFit="1" customWidth="1"/>
  </cols>
  <sheetData>
    <row r="1" spans="1:27" x14ac:dyDescent="0.2">
      <c r="A1" s="3" t="s">
        <v>0</v>
      </c>
      <c r="B1" s="3" t="s">
        <v>151</v>
      </c>
      <c r="C1" s="3" t="s">
        <v>143</v>
      </c>
      <c r="D1" s="3" t="s">
        <v>1</v>
      </c>
      <c r="E1" s="3" t="s">
        <v>2</v>
      </c>
      <c r="F1" s="3" t="s">
        <v>3</v>
      </c>
      <c r="G1" s="3" t="s">
        <v>152</v>
      </c>
      <c r="H1" s="3" t="s">
        <v>153</v>
      </c>
      <c r="I1" s="3" t="s">
        <v>154</v>
      </c>
      <c r="J1" s="3" t="s">
        <v>4</v>
      </c>
      <c r="K1" s="3" t="s">
        <v>5</v>
      </c>
      <c r="L1" s="3" t="s">
        <v>155</v>
      </c>
      <c r="M1" s="3" t="s">
        <v>156</v>
      </c>
      <c r="N1" s="3" t="s">
        <v>157</v>
      </c>
      <c r="O1" s="3" t="s">
        <v>158</v>
      </c>
      <c r="P1" s="3" t="s">
        <v>159</v>
      </c>
      <c r="Q1" s="3" t="s">
        <v>160</v>
      </c>
      <c r="R1" s="3" t="s">
        <v>161</v>
      </c>
      <c r="S1" s="3" t="s">
        <v>162</v>
      </c>
      <c r="T1" s="3" t="s">
        <v>163</v>
      </c>
      <c r="U1" s="3" t="s">
        <v>164</v>
      </c>
      <c r="V1" s="3" t="s">
        <v>165</v>
      </c>
      <c r="W1" s="3" t="s">
        <v>166</v>
      </c>
      <c r="X1" s="3" t="s">
        <v>167</v>
      </c>
      <c r="Y1" s="3" t="s">
        <v>168</v>
      </c>
      <c r="Z1" s="3" t="s">
        <v>169</v>
      </c>
      <c r="AA1" s="3" t="s">
        <v>276</v>
      </c>
    </row>
    <row r="2" spans="1:27" x14ac:dyDescent="0.2">
      <c r="A2" s="2" t="s">
        <v>170</v>
      </c>
      <c r="B2" s="2" t="s">
        <v>35</v>
      </c>
      <c r="C2" s="2">
        <v>45141</v>
      </c>
      <c r="D2" s="2" t="s">
        <v>44</v>
      </c>
      <c r="E2" s="2" t="s">
        <v>104</v>
      </c>
      <c r="F2" s="2" t="s">
        <v>13</v>
      </c>
      <c r="G2" s="2">
        <v>2.7</v>
      </c>
      <c r="H2" s="2">
        <v>1</v>
      </c>
      <c r="I2" s="2" t="s">
        <v>14</v>
      </c>
      <c r="J2" s="2">
        <v>8</v>
      </c>
      <c r="N2" s="2">
        <v>1247</v>
      </c>
      <c r="O2" s="2">
        <v>1300</v>
      </c>
      <c r="P2" s="2">
        <v>3</v>
      </c>
      <c r="Q2" s="2">
        <v>7</v>
      </c>
      <c r="R2" s="2">
        <v>12</v>
      </c>
      <c r="S2" s="2">
        <v>23</v>
      </c>
      <c r="T2" s="2">
        <f t="shared" ref="T2:T33" si="0">(P2*0.25+Q2*0.5+R2*0.75+S2*1)/O2</f>
        <v>2.7884615384615386E-2</v>
      </c>
      <c r="U2" s="2">
        <f t="shared" ref="U2:U33" si="1">(SUM(P2:S2,L2:M2)/SUM(O2))</f>
        <v>3.4615384615384617E-2</v>
      </c>
      <c r="V2" s="2">
        <v>45.262571247321119</v>
      </c>
      <c r="W2" s="2">
        <v>11.68194235808579</v>
      </c>
      <c r="X2" s="2">
        <f t="shared" ref="X2:X33" si="2">+G2*H2</f>
        <v>2.7</v>
      </c>
      <c r="Y2" s="2">
        <f t="shared" ref="Y2:Y33" si="3">+O2*X2</f>
        <v>3510.0000000000005</v>
      </c>
      <c r="Z2" s="2">
        <f t="shared" ref="Z2:Z33" si="4">IF(U2&gt;0,U2,"")</f>
        <v>3.4615384615384617E-2</v>
      </c>
      <c r="AA2" s="2">
        <f t="shared" ref="AA2:AA101" si="5">IF(U2&gt;0,1,0)</f>
        <v>1</v>
      </c>
    </row>
    <row r="3" spans="1:27" x14ac:dyDescent="0.2">
      <c r="A3" s="2" t="s">
        <v>171</v>
      </c>
      <c r="B3" s="2" t="s">
        <v>58</v>
      </c>
      <c r="C3" s="2">
        <v>45139</v>
      </c>
      <c r="D3" s="2" t="s">
        <v>20</v>
      </c>
      <c r="E3" s="2" t="s">
        <v>78</v>
      </c>
      <c r="F3" s="2" t="s">
        <v>30</v>
      </c>
      <c r="G3" s="2">
        <v>3.7</v>
      </c>
      <c r="H3" s="2">
        <v>0.8</v>
      </c>
      <c r="I3" s="2" t="s">
        <v>10</v>
      </c>
      <c r="J3" s="2">
        <v>41</v>
      </c>
      <c r="L3" s="2">
        <v>162</v>
      </c>
      <c r="M3" s="2">
        <v>60</v>
      </c>
      <c r="N3" s="2">
        <v>235</v>
      </c>
      <c r="O3" s="2">
        <v>1050</v>
      </c>
      <c r="P3" s="2">
        <v>0</v>
      </c>
      <c r="Q3" s="2">
        <v>20</v>
      </c>
      <c r="R3" s="2">
        <v>211</v>
      </c>
      <c r="S3" s="2">
        <v>321</v>
      </c>
      <c r="T3" s="2">
        <f t="shared" si="0"/>
        <v>0.46595238095238095</v>
      </c>
      <c r="U3" s="2">
        <f t="shared" si="1"/>
        <v>0.7371428571428571</v>
      </c>
      <c r="V3" s="2">
        <v>45.468838120808797</v>
      </c>
      <c r="W3" s="2">
        <v>11.11905902691012</v>
      </c>
      <c r="X3" s="2">
        <f t="shared" si="2"/>
        <v>2.9600000000000004</v>
      </c>
      <c r="Y3" s="2">
        <f t="shared" si="3"/>
        <v>3108.0000000000005</v>
      </c>
      <c r="Z3" s="2">
        <f t="shared" si="4"/>
        <v>0.7371428571428571</v>
      </c>
      <c r="AA3" s="2">
        <f t="shared" si="5"/>
        <v>1</v>
      </c>
    </row>
    <row r="4" spans="1:27" x14ac:dyDescent="0.2">
      <c r="A4" s="2" t="s">
        <v>172</v>
      </c>
      <c r="B4" s="2" t="s">
        <v>43</v>
      </c>
      <c r="C4" s="2">
        <v>45151</v>
      </c>
      <c r="D4" s="2" t="s">
        <v>44</v>
      </c>
      <c r="E4" s="2" t="s">
        <v>127</v>
      </c>
      <c r="F4" s="2" t="s">
        <v>13</v>
      </c>
      <c r="G4" s="2">
        <v>2.8</v>
      </c>
      <c r="H4" s="2">
        <v>1.25</v>
      </c>
      <c r="I4" s="2" t="s">
        <v>29</v>
      </c>
      <c r="K4" s="2">
        <v>8</v>
      </c>
      <c r="N4" s="2">
        <v>670</v>
      </c>
      <c r="O4" s="2">
        <v>700</v>
      </c>
      <c r="P4" s="2">
        <v>9</v>
      </c>
      <c r="Q4" s="2">
        <v>8</v>
      </c>
      <c r="R4" s="2">
        <v>2</v>
      </c>
      <c r="S4" s="2">
        <v>3</v>
      </c>
      <c r="T4" s="2">
        <f t="shared" si="0"/>
        <v>1.5357142857142857E-2</v>
      </c>
      <c r="U4" s="2">
        <f t="shared" si="1"/>
        <v>3.1428571428571431E-2</v>
      </c>
      <c r="V4" s="2">
        <v>45.203297978050351</v>
      </c>
      <c r="W4" s="2">
        <v>12.006301795465131</v>
      </c>
      <c r="X4" s="2">
        <f t="shared" si="2"/>
        <v>3.5</v>
      </c>
      <c r="Y4" s="2">
        <f t="shared" si="3"/>
        <v>2450</v>
      </c>
      <c r="Z4" s="2">
        <f t="shared" si="4"/>
        <v>3.1428571428571431E-2</v>
      </c>
      <c r="AA4" s="2">
        <f t="shared" si="5"/>
        <v>1</v>
      </c>
    </row>
    <row r="5" spans="1:27" x14ac:dyDescent="0.2">
      <c r="A5" s="2" t="s">
        <v>173</v>
      </c>
      <c r="B5" s="2" t="s">
        <v>43</v>
      </c>
      <c r="C5" s="2">
        <v>45151</v>
      </c>
      <c r="D5" s="2" t="s">
        <v>44</v>
      </c>
      <c r="E5" s="2" t="s">
        <v>127</v>
      </c>
      <c r="F5" s="2" t="s">
        <v>13</v>
      </c>
      <c r="G5" s="2">
        <v>2.7</v>
      </c>
      <c r="H5" s="2">
        <v>1.01</v>
      </c>
      <c r="I5" s="2" t="s">
        <v>29</v>
      </c>
      <c r="K5" s="2">
        <v>1</v>
      </c>
      <c r="N5" s="2">
        <v>101</v>
      </c>
      <c r="O5" s="2">
        <v>103</v>
      </c>
      <c r="P5" s="2">
        <v>1</v>
      </c>
      <c r="Q5" s="2">
        <v>0</v>
      </c>
      <c r="R5" s="2">
        <v>0</v>
      </c>
      <c r="S5" s="2">
        <v>0</v>
      </c>
      <c r="T5" s="2">
        <f t="shared" si="0"/>
        <v>2.4271844660194173E-3</v>
      </c>
      <c r="U5" s="2">
        <f t="shared" si="1"/>
        <v>9.7087378640776691E-3</v>
      </c>
      <c r="V5" s="2">
        <v>45.205285743400573</v>
      </c>
      <c r="W5" s="2">
        <v>12.0608812257097</v>
      </c>
      <c r="X5" s="2">
        <f t="shared" si="2"/>
        <v>2.7270000000000003</v>
      </c>
      <c r="Y5" s="2">
        <f t="shared" si="3"/>
        <v>280.88100000000003</v>
      </c>
      <c r="Z5" s="2">
        <f t="shared" si="4"/>
        <v>9.7087378640776691E-3</v>
      </c>
      <c r="AA5" s="2">
        <f t="shared" si="5"/>
        <v>1</v>
      </c>
    </row>
    <row r="6" spans="1:27" x14ac:dyDescent="0.2">
      <c r="A6" s="2" t="s">
        <v>174</v>
      </c>
      <c r="B6" s="2" t="s">
        <v>43</v>
      </c>
      <c r="C6" s="2">
        <v>45152</v>
      </c>
      <c r="D6" s="2" t="s">
        <v>44</v>
      </c>
      <c r="E6" s="2" t="s">
        <v>72</v>
      </c>
      <c r="F6" s="2" t="s">
        <v>27</v>
      </c>
      <c r="G6" s="2">
        <v>2.57</v>
      </c>
      <c r="H6" s="2">
        <v>1.01</v>
      </c>
      <c r="I6" s="2" t="s">
        <v>50</v>
      </c>
      <c r="N6" s="2">
        <v>1238</v>
      </c>
      <c r="O6" s="2">
        <v>1264</v>
      </c>
      <c r="P6" s="2">
        <v>8</v>
      </c>
      <c r="Q6" s="2">
        <v>11</v>
      </c>
      <c r="R6" s="2">
        <v>5</v>
      </c>
      <c r="S6" s="2">
        <v>2</v>
      </c>
      <c r="T6" s="2">
        <f t="shared" si="0"/>
        <v>1.0482594936708861E-2</v>
      </c>
      <c r="U6" s="2">
        <f t="shared" si="1"/>
        <v>2.0569620253164556E-2</v>
      </c>
      <c r="V6" s="2">
        <v>45.317134026159103</v>
      </c>
      <c r="W6" s="2">
        <v>11.82552888926149</v>
      </c>
      <c r="X6" s="2">
        <f t="shared" si="2"/>
        <v>2.5956999999999999</v>
      </c>
      <c r="Y6" s="2">
        <f t="shared" si="3"/>
        <v>3280.9647999999997</v>
      </c>
      <c r="Z6" s="2">
        <f t="shared" si="4"/>
        <v>2.0569620253164556E-2</v>
      </c>
      <c r="AA6" s="2">
        <f t="shared" si="5"/>
        <v>1</v>
      </c>
    </row>
    <row r="7" spans="1:27" x14ac:dyDescent="0.2">
      <c r="A7" s="2" t="s">
        <v>175</v>
      </c>
      <c r="B7" s="2" t="s">
        <v>43</v>
      </c>
      <c r="C7" s="2">
        <v>45152</v>
      </c>
      <c r="D7" s="2" t="s">
        <v>44</v>
      </c>
      <c r="E7" s="2" t="s">
        <v>72</v>
      </c>
      <c r="F7" s="2" t="s">
        <v>13</v>
      </c>
      <c r="G7" s="2">
        <v>2.77</v>
      </c>
      <c r="H7" s="2">
        <v>1</v>
      </c>
      <c r="I7" s="2" t="s">
        <v>29</v>
      </c>
      <c r="J7" s="2">
        <v>4</v>
      </c>
      <c r="L7" s="2">
        <v>2</v>
      </c>
      <c r="M7" s="2">
        <v>1</v>
      </c>
      <c r="N7" s="2">
        <v>677</v>
      </c>
      <c r="O7" s="2">
        <v>716</v>
      </c>
      <c r="P7" s="2">
        <v>6</v>
      </c>
      <c r="Q7" s="2">
        <v>8</v>
      </c>
      <c r="R7" s="2">
        <v>6</v>
      </c>
      <c r="S7" s="2">
        <v>12</v>
      </c>
      <c r="T7" s="2">
        <f t="shared" si="0"/>
        <v>3.0726256983240222E-2</v>
      </c>
      <c r="U7" s="2">
        <f t="shared" si="1"/>
        <v>4.8882681564245807E-2</v>
      </c>
      <c r="V7" s="2">
        <v>45.288374471241731</v>
      </c>
      <c r="W7" s="2">
        <v>11.81366810440459</v>
      </c>
      <c r="X7" s="2">
        <f t="shared" si="2"/>
        <v>2.77</v>
      </c>
      <c r="Y7" s="2">
        <f t="shared" si="3"/>
        <v>1983.32</v>
      </c>
      <c r="Z7" s="2">
        <f t="shared" si="4"/>
        <v>4.8882681564245807E-2</v>
      </c>
      <c r="AA7" s="2">
        <f t="shared" si="5"/>
        <v>1</v>
      </c>
    </row>
    <row r="8" spans="1:27" x14ac:dyDescent="0.2">
      <c r="A8" s="2" t="s">
        <v>176</v>
      </c>
      <c r="B8" s="2" t="s">
        <v>43</v>
      </c>
      <c r="C8" s="2">
        <v>45150</v>
      </c>
      <c r="D8" s="2" t="s">
        <v>44</v>
      </c>
      <c r="E8" s="2" t="s">
        <v>72</v>
      </c>
      <c r="F8" s="2" t="s">
        <v>13</v>
      </c>
      <c r="G8" s="2">
        <v>2.7</v>
      </c>
      <c r="H8" s="2">
        <v>0.98</v>
      </c>
      <c r="I8" s="2" t="s">
        <v>29</v>
      </c>
      <c r="J8" s="2">
        <v>2</v>
      </c>
      <c r="N8" s="2">
        <v>758</v>
      </c>
      <c r="O8" s="2">
        <v>770</v>
      </c>
      <c r="P8" s="2">
        <v>1</v>
      </c>
      <c r="Q8" s="2">
        <v>6</v>
      </c>
      <c r="R8" s="2">
        <v>2</v>
      </c>
      <c r="S8" s="2">
        <v>1</v>
      </c>
      <c r="T8" s="2">
        <f t="shared" si="0"/>
        <v>7.4675324675324674E-3</v>
      </c>
      <c r="U8" s="2">
        <f t="shared" si="1"/>
        <v>1.2987012987012988E-2</v>
      </c>
      <c r="V8" s="2">
        <v>45.296583951552257</v>
      </c>
      <c r="W8" s="2">
        <v>11.79559180249889</v>
      </c>
      <c r="X8" s="2">
        <f t="shared" si="2"/>
        <v>2.6459999999999999</v>
      </c>
      <c r="Y8" s="2">
        <f t="shared" si="3"/>
        <v>2037.4199999999998</v>
      </c>
      <c r="Z8" s="2">
        <f t="shared" si="4"/>
        <v>1.2987012987012988E-2</v>
      </c>
      <c r="AA8" s="2">
        <f t="shared" si="5"/>
        <v>1</v>
      </c>
    </row>
    <row r="9" spans="1:27" x14ac:dyDescent="0.2">
      <c r="A9" s="2" t="s">
        <v>177</v>
      </c>
      <c r="B9" s="2" t="s">
        <v>43</v>
      </c>
      <c r="C9" s="2">
        <v>45150</v>
      </c>
      <c r="D9" s="2" t="s">
        <v>44</v>
      </c>
      <c r="E9" s="2" t="s">
        <v>72</v>
      </c>
      <c r="F9" s="2" t="s">
        <v>13</v>
      </c>
      <c r="G9" s="2">
        <v>2.7</v>
      </c>
      <c r="H9" s="2">
        <v>0.98</v>
      </c>
      <c r="I9" s="2" t="s">
        <v>29</v>
      </c>
      <c r="L9" s="2">
        <v>1</v>
      </c>
      <c r="N9" s="2">
        <v>611</v>
      </c>
      <c r="O9" s="2">
        <v>645</v>
      </c>
      <c r="P9" s="2">
        <v>11</v>
      </c>
      <c r="Q9" s="2">
        <v>16</v>
      </c>
      <c r="R9" s="2">
        <v>1</v>
      </c>
      <c r="S9" s="2">
        <v>5</v>
      </c>
      <c r="T9" s="2">
        <f t="shared" si="0"/>
        <v>2.5581395348837209E-2</v>
      </c>
      <c r="U9" s="2">
        <f t="shared" si="1"/>
        <v>5.2713178294573643E-2</v>
      </c>
      <c r="V9" s="2">
        <v>45.296671836029283</v>
      </c>
      <c r="W9" s="2">
        <v>11.7952452792518</v>
      </c>
      <c r="X9" s="2">
        <f t="shared" si="2"/>
        <v>2.6459999999999999</v>
      </c>
      <c r="Y9" s="2">
        <f t="shared" si="3"/>
        <v>1706.6699999999998</v>
      </c>
      <c r="Z9" s="2">
        <f t="shared" si="4"/>
        <v>5.2713178294573643E-2</v>
      </c>
      <c r="AA9" s="2">
        <f t="shared" si="5"/>
        <v>1</v>
      </c>
    </row>
    <row r="10" spans="1:27" x14ac:dyDescent="0.2">
      <c r="A10" s="2" t="s">
        <v>178</v>
      </c>
      <c r="B10" s="2" t="s">
        <v>35</v>
      </c>
      <c r="C10" s="2">
        <v>45134</v>
      </c>
      <c r="D10" s="2" t="s">
        <v>44</v>
      </c>
      <c r="E10" s="2" t="s">
        <v>47</v>
      </c>
      <c r="F10" s="2" t="s">
        <v>13</v>
      </c>
      <c r="G10" s="2">
        <v>2.7</v>
      </c>
      <c r="H10" s="2">
        <v>1</v>
      </c>
      <c r="I10" s="2" t="s">
        <v>14</v>
      </c>
      <c r="J10" s="2">
        <v>24</v>
      </c>
      <c r="L10" s="2">
        <v>39</v>
      </c>
      <c r="N10" s="2">
        <v>650</v>
      </c>
      <c r="O10" s="2">
        <v>820</v>
      </c>
      <c r="P10" s="2">
        <v>0</v>
      </c>
      <c r="Q10" s="2">
        <v>9</v>
      </c>
      <c r="R10" s="2">
        <v>19</v>
      </c>
      <c r="S10" s="2">
        <v>79</v>
      </c>
      <c r="T10" s="2">
        <f t="shared" si="0"/>
        <v>0.11920731707317073</v>
      </c>
      <c r="U10" s="2">
        <f t="shared" si="1"/>
        <v>0.17804878048780487</v>
      </c>
      <c r="V10" s="2">
        <v>45.13136529728267</v>
      </c>
      <c r="W10" s="2">
        <v>11.466747167223289</v>
      </c>
      <c r="X10" s="2">
        <f t="shared" si="2"/>
        <v>2.7</v>
      </c>
      <c r="Y10" s="2">
        <f t="shared" si="3"/>
        <v>2214</v>
      </c>
      <c r="Z10" s="2">
        <f t="shared" si="4"/>
        <v>0.17804878048780487</v>
      </c>
      <c r="AA10" s="2">
        <f t="shared" si="5"/>
        <v>1</v>
      </c>
    </row>
    <row r="11" spans="1:27" x14ac:dyDescent="0.2">
      <c r="A11" s="2" t="s">
        <v>179</v>
      </c>
      <c r="B11" s="2" t="s">
        <v>35</v>
      </c>
      <c r="C11" s="2">
        <v>45140</v>
      </c>
      <c r="D11" s="2" t="s">
        <v>44</v>
      </c>
      <c r="E11" s="2" t="s">
        <v>180</v>
      </c>
      <c r="F11" s="2" t="s">
        <v>100</v>
      </c>
      <c r="G11" s="2">
        <v>2.8</v>
      </c>
      <c r="H11" s="2">
        <v>0.9</v>
      </c>
      <c r="I11" s="2" t="s">
        <v>14</v>
      </c>
      <c r="J11" s="2">
        <v>1</v>
      </c>
      <c r="K11" s="2">
        <v>10</v>
      </c>
      <c r="N11" s="2">
        <v>926</v>
      </c>
      <c r="O11" s="2">
        <v>950</v>
      </c>
      <c r="P11" s="2">
        <v>5</v>
      </c>
      <c r="Q11" s="2">
        <v>4</v>
      </c>
      <c r="R11" s="2">
        <v>4</v>
      </c>
      <c r="S11" s="2">
        <v>0</v>
      </c>
      <c r="T11" s="2">
        <f t="shared" si="0"/>
        <v>6.5789473684210523E-3</v>
      </c>
      <c r="U11" s="2">
        <f t="shared" si="1"/>
        <v>1.368421052631579E-2</v>
      </c>
      <c r="V11" s="2">
        <v>45.285837813108436</v>
      </c>
      <c r="W11" s="2">
        <v>11.74463452655799</v>
      </c>
      <c r="X11" s="2">
        <f t="shared" si="2"/>
        <v>2.52</v>
      </c>
      <c r="Y11" s="2">
        <f t="shared" si="3"/>
        <v>2394</v>
      </c>
      <c r="Z11" s="2">
        <f t="shared" si="4"/>
        <v>1.368421052631579E-2</v>
      </c>
      <c r="AA11" s="2">
        <f t="shared" si="5"/>
        <v>1</v>
      </c>
    </row>
    <row r="12" spans="1:27" x14ac:dyDescent="0.2">
      <c r="A12" s="2" t="s">
        <v>181</v>
      </c>
      <c r="B12" s="2" t="s">
        <v>35</v>
      </c>
      <c r="C12" s="2">
        <v>45140</v>
      </c>
      <c r="D12" s="2" t="s">
        <v>44</v>
      </c>
      <c r="E12" s="2" t="s">
        <v>180</v>
      </c>
      <c r="F12" s="2" t="s">
        <v>27</v>
      </c>
      <c r="G12" s="2">
        <v>2.8</v>
      </c>
      <c r="H12" s="2">
        <v>0.9</v>
      </c>
      <c r="I12" s="2" t="s">
        <v>18</v>
      </c>
      <c r="L12" s="2">
        <v>33</v>
      </c>
      <c r="N12" s="2">
        <v>1101</v>
      </c>
      <c r="O12" s="2">
        <v>1134</v>
      </c>
      <c r="P12" s="2">
        <v>0</v>
      </c>
      <c r="Q12" s="2">
        <v>0</v>
      </c>
      <c r="R12" s="2">
        <v>0</v>
      </c>
      <c r="S12" s="2">
        <v>0</v>
      </c>
      <c r="T12" s="2">
        <f t="shared" si="0"/>
        <v>0</v>
      </c>
      <c r="U12" s="2">
        <f t="shared" si="1"/>
        <v>2.9100529100529099E-2</v>
      </c>
      <c r="V12" s="2">
        <v>45.286936166311847</v>
      </c>
      <c r="W12" s="2">
        <v>11.744000434275611</v>
      </c>
      <c r="X12" s="2">
        <f t="shared" si="2"/>
        <v>2.52</v>
      </c>
      <c r="Y12" s="2">
        <f t="shared" si="3"/>
        <v>2857.68</v>
      </c>
      <c r="Z12" s="2">
        <f t="shared" si="4"/>
        <v>2.9100529100529099E-2</v>
      </c>
      <c r="AA12" s="2">
        <f t="shared" si="5"/>
        <v>1</v>
      </c>
    </row>
    <row r="13" spans="1:27" x14ac:dyDescent="0.2">
      <c r="A13" s="2" t="s">
        <v>182</v>
      </c>
      <c r="B13" s="2" t="s">
        <v>35</v>
      </c>
      <c r="C13" s="2">
        <v>45145</v>
      </c>
      <c r="D13" s="2" t="s">
        <v>44</v>
      </c>
      <c r="E13" s="2" t="s">
        <v>135</v>
      </c>
      <c r="F13" s="2" t="s">
        <v>13</v>
      </c>
      <c r="G13" s="2">
        <v>2.5</v>
      </c>
      <c r="H13" s="2">
        <v>1</v>
      </c>
      <c r="I13" s="2" t="s">
        <v>29</v>
      </c>
      <c r="N13" s="2">
        <v>1216</v>
      </c>
      <c r="O13" s="2">
        <v>1220</v>
      </c>
      <c r="P13" s="2">
        <v>1</v>
      </c>
      <c r="Q13" s="2">
        <v>3</v>
      </c>
      <c r="R13" s="2">
        <v>0</v>
      </c>
      <c r="S13" s="2">
        <v>0</v>
      </c>
      <c r="T13" s="2">
        <f t="shared" si="0"/>
        <v>1.4344262295081967E-3</v>
      </c>
      <c r="U13" s="2">
        <f t="shared" si="1"/>
        <v>3.2786885245901639E-3</v>
      </c>
      <c r="V13" s="2">
        <v>45.280248337721098</v>
      </c>
      <c r="W13" s="2">
        <v>11.615781682054489</v>
      </c>
      <c r="X13" s="2">
        <f t="shared" si="2"/>
        <v>2.5</v>
      </c>
      <c r="Y13" s="2">
        <f t="shared" si="3"/>
        <v>3050</v>
      </c>
      <c r="Z13" s="2">
        <f t="shared" si="4"/>
        <v>3.2786885245901639E-3</v>
      </c>
      <c r="AA13" s="2">
        <f t="shared" si="5"/>
        <v>1</v>
      </c>
    </row>
    <row r="14" spans="1:27" x14ac:dyDescent="0.2">
      <c r="A14" s="2" t="s">
        <v>183</v>
      </c>
      <c r="B14" s="2" t="s">
        <v>35</v>
      </c>
      <c r="C14" s="2">
        <v>45134</v>
      </c>
      <c r="D14" s="2" t="s">
        <v>44</v>
      </c>
      <c r="E14" s="2" t="s">
        <v>134</v>
      </c>
      <c r="F14" s="2" t="s">
        <v>13</v>
      </c>
      <c r="G14" s="2">
        <v>2.6</v>
      </c>
      <c r="H14" s="2">
        <v>1</v>
      </c>
      <c r="I14" s="2" t="s">
        <v>14</v>
      </c>
      <c r="J14" s="2">
        <v>5</v>
      </c>
      <c r="L14" s="2">
        <v>1</v>
      </c>
      <c r="N14" s="2">
        <v>1281</v>
      </c>
      <c r="O14" s="2">
        <v>1380</v>
      </c>
      <c r="P14" s="2">
        <v>0</v>
      </c>
      <c r="Q14" s="2">
        <v>17</v>
      </c>
      <c r="R14" s="2">
        <v>31</v>
      </c>
      <c r="S14" s="2">
        <v>45</v>
      </c>
      <c r="T14" s="2">
        <f t="shared" si="0"/>
        <v>5.561594202898551E-2</v>
      </c>
      <c r="U14" s="2">
        <f t="shared" si="1"/>
        <v>6.8115942028985507E-2</v>
      </c>
      <c r="V14" s="2">
        <v>45.119871426817582</v>
      </c>
      <c r="W14" s="2">
        <v>11.489214493471</v>
      </c>
      <c r="X14" s="2">
        <f t="shared" si="2"/>
        <v>2.6</v>
      </c>
      <c r="Y14" s="2">
        <f t="shared" si="3"/>
        <v>3588</v>
      </c>
      <c r="Z14" s="2">
        <f t="shared" si="4"/>
        <v>6.8115942028985507E-2</v>
      </c>
      <c r="AA14" s="2">
        <f t="shared" si="5"/>
        <v>1</v>
      </c>
    </row>
    <row r="15" spans="1:27" x14ac:dyDescent="0.2">
      <c r="A15" s="2" t="s">
        <v>184</v>
      </c>
      <c r="B15" s="2" t="s">
        <v>35</v>
      </c>
      <c r="C15" s="2">
        <v>45134</v>
      </c>
      <c r="D15" s="2" t="s">
        <v>44</v>
      </c>
      <c r="E15" s="2" t="s">
        <v>134</v>
      </c>
      <c r="F15" s="2" t="s">
        <v>28</v>
      </c>
      <c r="G15" s="2">
        <v>2.7</v>
      </c>
      <c r="H15" s="2">
        <v>0.8</v>
      </c>
      <c r="I15" s="2" t="s">
        <v>14</v>
      </c>
      <c r="J15" s="2">
        <v>19</v>
      </c>
      <c r="K15" s="2">
        <v>8</v>
      </c>
      <c r="N15" s="2">
        <v>608</v>
      </c>
      <c r="O15" s="2">
        <v>640</v>
      </c>
      <c r="P15" s="2">
        <v>0</v>
      </c>
      <c r="Q15" s="2">
        <v>2</v>
      </c>
      <c r="R15" s="2">
        <v>3</v>
      </c>
      <c r="S15" s="2">
        <v>0</v>
      </c>
      <c r="T15" s="2">
        <f t="shared" si="0"/>
        <v>5.0781250000000002E-3</v>
      </c>
      <c r="U15" s="2">
        <f t="shared" si="1"/>
        <v>7.8125E-3</v>
      </c>
      <c r="V15" s="2">
        <v>45.123731844440279</v>
      </c>
      <c r="W15" s="2">
        <v>11.48363457362983</v>
      </c>
      <c r="X15" s="2">
        <f t="shared" si="2"/>
        <v>2.16</v>
      </c>
      <c r="Y15" s="2">
        <f t="shared" si="3"/>
        <v>1382.4</v>
      </c>
      <c r="Z15" s="2">
        <f t="shared" si="4"/>
        <v>7.8125E-3</v>
      </c>
      <c r="AA15" s="2">
        <f t="shared" si="5"/>
        <v>1</v>
      </c>
    </row>
    <row r="16" spans="1:27" x14ac:dyDescent="0.2">
      <c r="A16" s="2" t="s">
        <v>185</v>
      </c>
      <c r="B16" s="2" t="s">
        <v>35</v>
      </c>
      <c r="C16" s="2">
        <v>45134</v>
      </c>
      <c r="D16" s="2" t="s">
        <v>44</v>
      </c>
      <c r="E16" s="2" t="s">
        <v>134</v>
      </c>
      <c r="F16" s="2" t="s">
        <v>13</v>
      </c>
      <c r="G16" s="2">
        <v>2.6</v>
      </c>
      <c r="H16" s="2">
        <v>1</v>
      </c>
      <c r="I16" s="2" t="s">
        <v>14</v>
      </c>
      <c r="N16" s="2">
        <v>1364</v>
      </c>
      <c r="O16" s="2">
        <v>1440</v>
      </c>
      <c r="P16" s="2">
        <v>0</v>
      </c>
      <c r="Q16" s="2">
        <v>13</v>
      </c>
      <c r="R16" s="2">
        <v>34</v>
      </c>
      <c r="S16" s="2">
        <v>29</v>
      </c>
      <c r="T16" s="2">
        <f t="shared" si="0"/>
        <v>4.2361111111111113E-2</v>
      </c>
      <c r="U16" s="2">
        <f t="shared" si="1"/>
        <v>5.2777777777777778E-2</v>
      </c>
      <c r="V16" s="2">
        <v>45.120290914652507</v>
      </c>
      <c r="W16" s="2">
        <v>11.48591978215514</v>
      </c>
      <c r="X16" s="2">
        <f t="shared" si="2"/>
        <v>2.6</v>
      </c>
      <c r="Y16" s="2">
        <f t="shared" si="3"/>
        <v>3744</v>
      </c>
      <c r="Z16" s="2">
        <f t="shared" si="4"/>
        <v>5.2777777777777778E-2</v>
      </c>
      <c r="AA16" s="2">
        <f t="shared" si="5"/>
        <v>1</v>
      </c>
    </row>
    <row r="17" spans="1:27" x14ac:dyDescent="0.2">
      <c r="A17" s="2" t="s">
        <v>186</v>
      </c>
      <c r="B17" s="2" t="s">
        <v>35</v>
      </c>
      <c r="C17" s="2">
        <v>45134</v>
      </c>
      <c r="D17" s="2" t="s">
        <v>44</v>
      </c>
      <c r="E17" s="2" t="s">
        <v>134</v>
      </c>
      <c r="F17" s="2" t="s">
        <v>28</v>
      </c>
      <c r="G17" s="2">
        <v>2.5</v>
      </c>
      <c r="H17" s="2">
        <v>0.9</v>
      </c>
      <c r="I17" s="2" t="s">
        <v>14</v>
      </c>
      <c r="J17" s="2">
        <v>14</v>
      </c>
      <c r="K17" s="2">
        <v>5</v>
      </c>
      <c r="L17" s="2">
        <v>3</v>
      </c>
      <c r="N17" s="2">
        <v>731</v>
      </c>
      <c r="O17" s="2">
        <v>820</v>
      </c>
      <c r="P17" s="2">
        <v>0</v>
      </c>
      <c r="Q17" s="2">
        <v>22</v>
      </c>
      <c r="R17" s="2">
        <v>21</v>
      </c>
      <c r="S17" s="2">
        <v>24</v>
      </c>
      <c r="T17" s="2">
        <f t="shared" si="0"/>
        <v>6.1890243902439024E-2</v>
      </c>
      <c r="U17" s="2">
        <f t="shared" si="1"/>
        <v>8.5365853658536592E-2</v>
      </c>
      <c r="V17" s="2">
        <v>45.121819041756517</v>
      </c>
      <c r="W17" s="2">
        <v>11.48939680997252</v>
      </c>
      <c r="X17" s="2">
        <f t="shared" si="2"/>
        <v>2.25</v>
      </c>
      <c r="Y17" s="2">
        <f t="shared" si="3"/>
        <v>1845</v>
      </c>
      <c r="Z17" s="2">
        <f t="shared" si="4"/>
        <v>8.5365853658536592E-2</v>
      </c>
      <c r="AA17" s="2">
        <f t="shared" si="5"/>
        <v>1</v>
      </c>
    </row>
    <row r="18" spans="1:27" x14ac:dyDescent="0.2">
      <c r="A18" s="2" t="s">
        <v>187</v>
      </c>
      <c r="B18" s="2" t="s">
        <v>35</v>
      </c>
      <c r="C18" s="2">
        <v>45134</v>
      </c>
      <c r="D18" s="2" t="s">
        <v>44</v>
      </c>
      <c r="E18" s="2" t="s">
        <v>134</v>
      </c>
      <c r="F18" s="2" t="s">
        <v>13</v>
      </c>
      <c r="G18" s="2">
        <v>2.6</v>
      </c>
      <c r="H18" s="2">
        <v>1</v>
      </c>
      <c r="I18" s="2" t="s">
        <v>14</v>
      </c>
      <c r="N18" s="2">
        <v>846</v>
      </c>
      <c r="O18" s="2">
        <v>880</v>
      </c>
      <c r="P18" s="2">
        <v>0</v>
      </c>
      <c r="Q18" s="2">
        <v>16</v>
      </c>
      <c r="R18" s="2">
        <v>7</v>
      </c>
      <c r="S18" s="2">
        <v>11</v>
      </c>
      <c r="T18" s="2">
        <f t="shared" si="0"/>
        <v>2.7556818181818182E-2</v>
      </c>
      <c r="U18" s="2">
        <f t="shared" si="1"/>
        <v>3.8636363636363635E-2</v>
      </c>
      <c r="V18" s="2">
        <v>45.119647613768741</v>
      </c>
      <c r="W18" s="2">
        <v>11.48911737274352</v>
      </c>
      <c r="X18" s="2">
        <f t="shared" si="2"/>
        <v>2.6</v>
      </c>
      <c r="Y18" s="2">
        <f t="shared" si="3"/>
        <v>2288</v>
      </c>
      <c r="Z18" s="2">
        <f t="shared" si="4"/>
        <v>3.8636363636363635E-2</v>
      </c>
      <c r="AA18" s="2">
        <f t="shared" si="5"/>
        <v>1</v>
      </c>
    </row>
    <row r="19" spans="1:27" x14ac:dyDescent="0.2">
      <c r="A19" s="2" t="s">
        <v>188</v>
      </c>
      <c r="B19" s="2" t="s">
        <v>35</v>
      </c>
      <c r="C19" s="2">
        <v>45147</v>
      </c>
      <c r="D19" s="2" t="s">
        <v>44</v>
      </c>
      <c r="E19" s="2" t="s">
        <v>130</v>
      </c>
      <c r="F19" s="2" t="s">
        <v>13</v>
      </c>
      <c r="G19" s="2">
        <v>0.8</v>
      </c>
      <c r="H19" s="2">
        <v>2.4</v>
      </c>
      <c r="I19" s="2" t="s">
        <v>14</v>
      </c>
      <c r="N19" s="2">
        <v>1378</v>
      </c>
      <c r="O19" s="2">
        <v>1400</v>
      </c>
      <c r="P19" s="2">
        <v>6</v>
      </c>
      <c r="Q19" s="2">
        <v>7</v>
      </c>
      <c r="R19" s="2">
        <v>8</v>
      </c>
      <c r="S19" s="2">
        <v>1</v>
      </c>
      <c r="T19" s="2">
        <f t="shared" si="0"/>
        <v>8.5714285714285719E-3</v>
      </c>
      <c r="U19" s="2">
        <f t="shared" si="1"/>
        <v>1.5714285714285715E-2</v>
      </c>
      <c r="V19" s="2">
        <v>45.173475014721653</v>
      </c>
      <c r="W19" s="2">
        <v>11.441225547497931</v>
      </c>
      <c r="X19" s="2">
        <f t="shared" si="2"/>
        <v>1.92</v>
      </c>
      <c r="Y19" s="2">
        <f t="shared" si="3"/>
        <v>2688</v>
      </c>
      <c r="Z19" s="2">
        <f t="shared" si="4"/>
        <v>1.5714285714285715E-2</v>
      </c>
      <c r="AA19" s="2">
        <f t="shared" si="5"/>
        <v>1</v>
      </c>
    </row>
    <row r="20" spans="1:27" x14ac:dyDescent="0.2">
      <c r="A20" s="2" t="s">
        <v>189</v>
      </c>
      <c r="B20" s="2" t="s">
        <v>19</v>
      </c>
      <c r="C20" s="2">
        <v>45213</v>
      </c>
      <c r="D20" s="2" t="s">
        <v>20</v>
      </c>
      <c r="E20" s="2" t="s">
        <v>48</v>
      </c>
      <c r="F20" s="2" t="s">
        <v>25</v>
      </c>
      <c r="G20" s="2">
        <v>2.5</v>
      </c>
      <c r="H20" s="2">
        <v>0.8</v>
      </c>
      <c r="I20" s="2" t="s">
        <v>18</v>
      </c>
      <c r="J20" s="2">
        <v>5</v>
      </c>
      <c r="N20" s="2">
        <v>341</v>
      </c>
      <c r="O20" s="2">
        <v>346</v>
      </c>
      <c r="P20" s="2">
        <v>0</v>
      </c>
      <c r="Q20" s="2">
        <v>0</v>
      </c>
      <c r="R20" s="2">
        <v>0</v>
      </c>
      <c r="S20" s="2">
        <v>0</v>
      </c>
      <c r="T20" s="2">
        <f t="shared" si="0"/>
        <v>0</v>
      </c>
      <c r="U20" s="2">
        <f t="shared" si="1"/>
        <v>0</v>
      </c>
      <c r="V20" s="2">
        <v>45.512100231997657</v>
      </c>
      <c r="W20" s="2">
        <v>10.860874879540869</v>
      </c>
      <c r="X20" s="2">
        <f t="shared" si="2"/>
        <v>2</v>
      </c>
      <c r="Y20" s="2">
        <f t="shared" si="3"/>
        <v>692</v>
      </c>
      <c r="Z20" s="2" t="str">
        <f t="shared" si="4"/>
        <v/>
      </c>
      <c r="AA20" s="2">
        <f t="shared" si="5"/>
        <v>0</v>
      </c>
    </row>
    <row r="21" spans="1:27" ht="15.75" customHeight="1" x14ac:dyDescent="0.2">
      <c r="A21" s="2" t="s">
        <v>190</v>
      </c>
      <c r="B21" s="2" t="s">
        <v>35</v>
      </c>
      <c r="C21" s="2">
        <v>45142</v>
      </c>
      <c r="D21" s="2" t="s">
        <v>44</v>
      </c>
      <c r="E21" s="2" t="s">
        <v>91</v>
      </c>
      <c r="F21" s="2" t="s">
        <v>93</v>
      </c>
      <c r="G21" s="2">
        <v>2.2999999999999998</v>
      </c>
      <c r="H21" s="2">
        <v>0.79</v>
      </c>
      <c r="I21" s="2" t="s">
        <v>18</v>
      </c>
      <c r="J21" s="2">
        <v>55</v>
      </c>
      <c r="M21" s="2">
        <v>9</v>
      </c>
      <c r="N21" s="2">
        <v>1186</v>
      </c>
      <c r="O21" s="2">
        <v>1250</v>
      </c>
      <c r="P21" s="2">
        <v>0</v>
      </c>
      <c r="Q21" s="2">
        <v>0</v>
      </c>
      <c r="R21" s="2">
        <v>0</v>
      </c>
      <c r="S21" s="2">
        <v>0</v>
      </c>
      <c r="T21" s="2">
        <f t="shared" si="0"/>
        <v>0</v>
      </c>
      <c r="U21" s="2">
        <f t="shared" si="1"/>
        <v>7.1999999999999998E-3</v>
      </c>
      <c r="V21" s="2">
        <v>45.287241498178354</v>
      </c>
      <c r="W21" s="2">
        <v>11.65928549765062</v>
      </c>
      <c r="X21" s="2">
        <f t="shared" si="2"/>
        <v>1.8169999999999999</v>
      </c>
      <c r="Y21" s="2">
        <f t="shared" si="3"/>
        <v>2271.25</v>
      </c>
      <c r="Z21" s="2">
        <f t="shared" si="4"/>
        <v>7.1999999999999998E-3</v>
      </c>
      <c r="AA21" s="2">
        <f t="shared" si="5"/>
        <v>1</v>
      </c>
    </row>
    <row r="22" spans="1:27" ht="15.75" customHeight="1" x14ac:dyDescent="0.2">
      <c r="A22" s="2" t="s">
        <v>191</v>
      </c>
      <c r="B22" s="2" t="s">
        <v>35</v>
      </c>
      <c r="C22" s="2">
        <v>45141</v>
      </c>
      <c r="D22" s="2" t="s">
        <v>44</v>
      </c>
      <c r="E22" s="2" t="s">
        <v>91</v>
      </c>
      <c r="F22" s="2" t="s">
        <v>28</v>
      </c>
      <c r="G22" s="2">
        <v>3.5</v>
      </c>
      <c r="H22" s="2">
        <v>1.3</v>
      </c>
      <c r="I22" s="2" t="s">
        <v>29</v>
      </c>
      <c r="N22" s="2">
        <v>408</v>
      </c>
      <c r="O22" s="2">
        <v>500</v>
      </c>
      <c r="P22" s="2">
        <v>4</v>
      </c>
      <c r="Q22" s="2">
        <v>15</v>
      </c>
      <c r="R22" s="2">
        <v>37</v>
      </c>
      <c r="S22" s="2">
        <v>36</v>
      </c>
      <c r="T22" s="2">
        <f t="shared" si="0"/>
        <v>0.14449999999999999</v>
      </c>
      <c r="U22" s="2">
        <f t="shared" si="1"/>
        <v>0.184</v>
      </c>
      <c r="V22" s="2">
        <v>45.27225897799827</v>
      </c>
      <c r="W22" s="2">
        <v>11.643857820904319</v>
      </c>
      <c r="X22" s="2">
        <f t="shared" si="2"/>
        <v>4.55</v>
      </c>
      <c r="Y22" s="2">
        <f t="shared" si="3"/>
        <v>2275</v>
      </c>
      <c r="Z22" s="2">
        <f t="shared" si="4"/>
        <v>0.184</v>
      </c>
      <c r="AA22" s="2">
        <f t="shared" si="5"/>
        <v>1</v>
      </c>
    </row>
    <row r="23" spans="1:27" ht="15.75" customHeight="1" x14ac:dyDescent="0.2">
      <c r="A23" s="2" t="s">
        <v>192</v>
      </c>
      <c r="B23" s="2" t="s">
        <v>35</v>
      </c>
      <c r="C23" s="2">
        <v>45142</v>
      </c>
      <c r="D23" s="2" t="s">
        <v>44</v>
      </c>
      <c r="E23" s="2" t="s">
        <v>91</v>
      </c>
      <c r="F23" s="2" t="s">
        <v>100</v>
      </c>
      <c r="G23" s="2">
        <v>2.7</v>
      </c>
      <c r="H23" s="2">
        <v>1.2</v>
      </c>
      <c r="I23" s="2" t="s">
        <v>18</v>
      </c>
      <c r="J23" s="2">
        <v>10</v>
      </c>
      <c r="N23" s="2">
        <v>949</v>
      </c>
      <c r="O23" s="2">
        <v>970</v>
      </c>
      <c r="P23" s="2">
        <v>5</v>
      </c>
      <c r="Q23" s="2">
        <v>2</v>
      </c>
      <c r="R23" s="2">
        <v>4</v>
      </c>
      <c r="S23" s="2">
        <v>0</v>
      </c>
      <c r="T23" s="2">
        <f t="shared" si="0"/>
        <v>5.4123711340206184E-3</v>
      </c>
      <c r="U23" s="2">
        <f t="shared" si="1"/>
        <v>1.134020618556701E-2</v>
      </c>
      <c r="V23" s="2">
        <v>45.298359455023899</v>
      </c>
      <c r="W23" s="2">
        <v>11.66153897854544</v>
      </c>
      <c r="X23" s="2">
        <f t="shared" si="2"/>
        <v>3.24</v>
      </c>
      <c r="Y23" s="2">
        <f t="shared" si="3"/>
        <v>3142.8</v>
      </c>
      <c r="Z23" s="2">
        <f t="shared" si="4"/>
        <v>1.134020618556701E-2</v>
      </c>
      <c r="AA23" s="2">
        <f t="shared" si="5"/>
        <v>1</v>
      </c>
    </row>
    <row r="24" spans="1:27" ht="15.75" customHeight="1" x14ac:dyDescent="0.2">
      <c r="A24" s="2" t="s">
        <v>193</v>
      </c>
      <c r="B24" s="2" t="s">
        <v>35</v>
      </c>
      <c r="C24" s="2">
        <v>45142</v>
      </c>
      <c r="D24" s="2" t="s">
        <v>44</v>
      </c>
      <c r="E24" s="2" t="s">
        <v>91</v>
      </c>
      <c r="F24" s="2" t="s">
        <v>124</v>
      </c>
      <c r="G24" s="2">
        <v>2.6</v>
      </c>
      <c r="H24" s="2">
        <v>0.8</v>
      </c>
      <c r="I24" s="2" t="s">
        <v>18</v>
      </c>
      <c r="N24" s="2">
        <v>1437</v>
      </c>
      <c r="O24" s="2">
        <v>1450</v>
      </c>
      <c r="P24" s="2">
        <v>10</v>
      </c>
      <c r="Q24" s="2">
        <v>2</v>
      </c>
      <c r="R24" s="2">
        <v>1</v>
      </c>
      <c r="S24" s="2">
        <v>0</v>
      </c>
      <c r="T24" s="2">
        <f t="shared" si="0"/>
        <v>2.9310344827586207E-3</v>
      </c>
      <c r="U24" s="2">
        <f t="shared" si="1"/>
        <v>8.9655172413793099E-3</v>
      </c>
      <c r="V24" s="2">
        <v>45.302169010319787</v>
      </c>
      <c r="W24" s="2">
        <v>11.690586202797061</v>
      </c>
      <c r="X24" s="2">
        <f t="shared" si="2"/>
        <v>2.08</v>
      </c>
      <c r="Y24" s="2">
        <f t="shared" si="3"/>
        <v>3016</v>
      </c>
      <c r="Z24" s="2">
        <f t="shared" si="4"/>
        <v>8.9655172413793099E-3</v>
      </c>
      <c r="AA24" s="2">
        <f t="shared" si="5"/>
        <v>1</v>
      </c>
    </row>
    <row r="25" spans="1:27" ht="15.75" customHeight="1" x14ac:dyDescent="0.2">
      <c r="A25" s="2" t="s">
        <v>194</v>
      </c>
      <c r="B25" s="2" t="s">
        <v>35</v>
      </c>
      <c r="C25" s="2">
        <v>45141</v>
      </c>
      <c r="D25" s="2" t="s">
        <v>44</v>
      </c>
      <c r="E25" s="2" t="s">
        <v>91</v>
      </c>
      <c r="F25" s="2" t="s">
        <v>30</v>
      </c>
      <c r="G25" s="2">
        <v>2.6</v>
      </c>
      <c r="H25" s="2">
        <v>0.8</v>
      </c>
      <c r="I25" s="2" t="s">
        <v>29</v>
      </c>
      <c r="N25" s="2">
        <v>492</v>
      </c>
      <c r="O25" s="2">
        <v>500</v>
      </c>
      <c r="P25" s="2">
        <v>0</v>
      </c>
      <c r="Q25" s="2">
        <v>0</v>
      </c>
      <c r="R25" s="2">
        <v>2</v>
      </c>
      <c r="S25" s="2">
        <v>6</v>
      </c>
      <c r="T25" s="2">
        <f t="shared" si="0"/>
        <v>1.4999999999999999E-2</v>
      </c>
      <c r="U25" s="2">
        <f t="shared" si="1"/>
        <v>1.6E-2</v>
      </c>
      <c r="V25" s="2">
        <v>45.273451462201251</v>
      </c>
      <c r="W25" s="2">
        <v>11.64851968770772</v>
      </c>
      <c r="X25" s="2">
        <f t="shared" si="2"/>
        <v>2.08</v>
      </c>
      <c r="Y25" s="2">
        <f t="shared" si="3"/>
        <v>1040</v>
      </c>
      <c r="Z25" s="2">
        <f t="shared" si="4"/>
        <v>1.6E-2</v>
      </c>
      <c r="AA25" s="2">
        <f t="shared" si="5"/>
        <v>1</v>
      </c>
    </row>
    <row r="26" spans="1:27" ht="15.75" customHeight="1" x14ac:dyDescent="0.2">
      <c r="A26" s="2" t="s">
        <v>195</v>
      </c>
      <c r="B26" s="2" t="s">
        <v>35</v>
      </c>
      <c r="C26" s="2">
        <v>45141</v>
      </c>
      <c r="D26" s="2" t="s">
        <v>44</v>
      </c>
      <c r="E26" s="2" t="s">
        <v>91</v>
      </c>
      <c r="F26" s="2" t="s">
        <v>30</v>
      </c>
      <c r="G26" s="2">
        <v>2.6</v>
      </c>
      <c r="H26" s="2">
        <v>0.8</v>
      </c>
      <c r="I26" s="2" t="s">
        <v>29</v>
      </c>
      <c r="J26" s="2">
        <v>1</v>
      </c>
      <c r="N26" s="2">
        <v>607</v>
      </c>
      <c r="O26" s="2">
        <v>630</v>
      </c>
      <c r="P26" s="2">
        <v>3</v>
      </c>
      <c r="Q26" s="2">
        <v>1</v>
      </c>
      <c r="R26" s="2">
        <v>9</v>
      </c>
      <c r="S26" s="2">
        <v>9</v>
      </c>
      <c r="T26" s="2">
        <f t="shared" si="0"/>
        <v>2.6984126984126985E-2</v>
      </c>
      <c r="U26" s="2">
        <f t="shared" si="1"/>
        <v>3.4920634920634921E-2</v>
      </c>
      <c r="V26" s="2">
        <v>45.273611053800842</v>
      </c>
      <c r="W26" s="2">
        <v>11.64871140859092</v>
      </c>
      <c r="X26" s="2">
        <f t="shared" si="2"/>
        <v>2.08</v>
      </c>
      <c r="Y26" s="2">
        <f t="shared" si="3"/>
        <v>1310.4000000000001</v>
      </c>
      <c r="Z26" s="2">
        <f t="shared" si="4"/>
        <v>3.4920634920634921E-2</v>
      </c>
      <c r="AA26" s="2">
        <f t="shared" si="5"/>
        <v>1</v>
      </c>
    </row>
    <row r="27" spans="1:27" ht="15.75" customHeight="1" x14ac:dyDescent="0.2">
      <c r="A27" s="2" t="s">
        <v>196</v>
      </c>
      <c r="B27" s="2" t="s">
        <v>35</v>
      </c>
      <c r="C27" s="2">
        <v>45142</v>
      </c>
      <c r="D27" s="2" t="s">
        <v>44</v>
      </c>
      <c r="E27" s="2" t="s">
        <v>91</v>
      </c>
      <c r="F27" s="2" t="s">
        <v>13</v>
      </c>
      <c r="G27" s="2">
        <v>2.9</v>
      </c>
      <c r="H27" s="2">
        <v>0.8</v>
      </c>
      <c r="I27" s="2" t="s">
        <v>14</v>
      </c>
      <c r="N27" s="2">
        <v>1657</v>
      </c>
      <c r="O27" s="2">
        <v>1660</v>
      </c>
      <c r="P27" s="2">
        <v>1</v>
      </c>
      <c r="Q27" s="2">
        <v>2</v>
      </c>
      <c r="R27" s="2">
        <v>0</v>
      </c>
      <c r="S27" s="2">
        <v>0</v>
      </c>
      <c r="T27" s="2">
        <f t="shared" si="0"/>
        <v>7.5301204819277112E-4</v>
      </c>
      <c r="U27" s="2">
        <f t="shared" si="1"/>
        <v>1.8072289156626507E-3</v>
      </c>
      <c r="V27" s="2">
        <v>45.301532112143157</v>
      </c>
      <c r="W27" s="2">
        <v>11.69438928267501</v>
      </c>
      <c r="X27" s="2">
        <f t="shared" si="2"/>
        <v>2.3199999999999998</v>
      </c>
      <c r="Y27" s="2">
        <f t="shared" si="3"/>
        <v>3851.2</v>
      </c>
      <c r="Z27" s="2">
        <f t="shared" si="4"/>
        <v>1.8072289156626507E-3</v>
      </c>
      <c r="AA27" s="2">
        <f t="shared" si="5"/>
        <v>1</v>
      </c>
    </row>
    <row r="28" spans="1:27" ht="15.75" customHeight="1" x14ac:dyDescent="0.2">
      <c r="A28" s="2" t="s">
        <v>197</v>
      </c>
      <c r="B28" s="2" t="s">
        <v>43</v>
      </c>
      <c r="C28" s="2">
        <v>45154</v>
      </c>
      <c r="D28" s="2" t="s">
        <v>44</v>
      </c>
      <c r="E28" s="2" t="s">
        <v>45</v>
      </c>
      <c r="F28" s="2" t="s">
        <v>28</v>
      </c>
      <c r="G28" s="2">
        <v>2.7</v>
      </c>
      <c r="H28" s="2">
        <v>1</v>
      </c>
      <c r="I28" s="2" t="s">
        <v>29</v>
      </c>
      <c r="N28" s="2">
        <v>1327</v>
      </c>
      <c r="O28" s="2">
        <v>1341</v>
      </c>
      <c r="P28" s="2">
        <v>1</v>
      </c>
      <c r="Q28" s="2">
        <v>0</v>
      </c>
      <c r="R28" s="2">
        <v>0</v>
      </c>
      <c r="S28" s="2">
        <v>13</v>
      </c>
      <c r="T28" s="2">
        <f t="shared" si="0"/>
        <v>9.8806860551827001E-3</v>
      </c>
      <c r="U28" s="2">
        <f t="shared" si="1"/>
        <v>1.0439970171513796E-2</v>
      </c>
      <c r="V28" s="2">
        <v>45.252847798423318</v>
      </c>
      <c r="W28" s="2">
        <v>11.875107333614981</v>
      </c>
      <c r="X28" s="2">
        <f t="shared" si="2"/>
        <v>2.7</v>
      </c>
      <c r="Y28" s="2">
        <f t="shared" si="3"/>
        <v>3620.7000000000003</v>
      </c>
      <c r="Z28" s="2">
        <f t="shared" si="4"/>
        <v>1.0439970171513796E-2</v>
      </c>
      <c r="AA28" s="2">
        <f t="shared" si="5"/>
        <v>1</v>
      </c>
    </row>
    <row r="29" spans="1:27" ht="15.75" customHeight="1" x14ac:dyDescent="0.2">
      <c r="A29" s="2" t="s">
        <v>198</v>
      </c>
      <c r="B29" s="2" t="s">
        <v>43</v>
      </c>
      <c r="C29" s="2">
        <v>45150</v>
      </c>
      <c r="D29" s="2" t="s">
        <v>44</v>
      </c>
      <c r="E29" s="2" t="s">
        <v>131</v>
      </c>
      <c r="F29" s="2" t="s">
        <v>27</v>
      </c>
      <c r="G29" s="2">
        <v>2.6</v>
      </c>
      <c r="H29" s="2">
        <v>1.1000000000000001</v>
      </c>
      <c r="I29" s="2" t="s">
        <v>77</v>
      </c>
      <c r="J29" s="2">
        <v>2</v>
      </c>
      <c r="N29" s="2">
        <v>421</v>
      </c>
      <c r="O29" s="2">
        <v>440</v>
      </c>
      <c r="P29" s="2">
        <v>13</v>
      </c>
      <c r="Q29" s="2">
        <v>4</v>
      </c>
      <c r="R29" s="2">
        <v>0</v>
      </c>
      <c r="S29" s="2">
        <v>0</v>
      </c>
      <c r="T29" s="2">
        <f t="shared" si="0"/>
        <v>1.1931818181818182E-2</v>
      </c>
      <c r="U29" s="2">
        <f t="shared" si="1"/>
        <v>3.8636363636363635E-2</v>
      </c>
      <c r="V29" s="2">
        <v>45.233619368844678</v>
      </c>
      <c r="W29" s="2">
        <v>11.78349754403094</v>
      </c>
      <c r="X29" s="2">
        <f t="shared" si="2"/>
        <v>2.8600000000000003</v>
      </c>
      <c r="Y29" s="2">
        <f t="shared" si="3"/>
        <v>1258.4000000000001</v>
      </c>
      <c r="Z29" s="2">
        <f t="shared" si="4"/>
        <v>3.8636363636363635E-2</v>
      </c>
      <c r="AA29" s="2">
        <f t="shared" si="5"/>
        <v>1</v>
      </c>
    </row>
    <row r="30" spans="1:27" ht="15.75" customHeight="1" x14ac:dyDescent="0.2">
      <c r="A30" s="2" t="s">
        <v>199</v>
      </c>
      <c r="B30" s="2" t="s">
        <v>43</v>
      </c>
      <c r="C30" s="2">
        <v>45150</v>
      </c>
      <c r="D30" s="2" t="s">
        <v>44</v>
      </c>
      <c r="E30" s="2" t="s">
        <v>131</v>
      </c>
      <c r="F30" s="2" t="s">
        <v>125</v>
      </c>
      <c r="G30" s="2">
        <v>2.9</v>
      </c>
      <c r="H30" s="2">
        <v>1.2</v>
      </c>
      <c r="I30" s="2" t="s">
        <v>50</v>
      </c>
      <c r="J30" s="2">
        <v>1</v>
      </c>
      <c r="N30" s="2">
        <v>323</v>
      </c>
      <c r="O30" s="2">
        <v>360</v>
      </c>
      <c r="P30" s="2">
        <v>2</v>
      </c>
      <c r="Q30" s="2">
        <v>11</v>
      </c>
      <c r="R30" s="2">
        <v>11</v>
      </c>
      <c r="S30" s="2">
        <v>12</v>
      </c>
      <c r="T30" s="2">
        <f t="shared" si="0"/>
        <v>7.2916666666666671E-2</v>
      </c>
      <c r="U30" s="2">
        <f t="shared" si="1"/>
        <v>0.1</v>
      </c>
      <c r="V30" s="2">
        <v>45.220121063550643</v>
      </c>
      <c r="W30" s="2">
        <v>11.785115360518191</v>
      </c>
      <c r="X30" s="2">
        <f t="shared" si="2"/>
        <v>3.48</v>
      </c>
      <c r="Y30" s="2">
        <f t="shared" si="3"/>
        <v>1252.8</v>
      </c>
      <c r="Z30" s="2">
        <f t="shared" si="4"/>
        <v>0.1</v>
      </c>
      <c r="AA30" s="2">
        <f t="shared" si="5"/>
        <v>1</v>
      </c>
    </row>
    <row r="31" spans="1:27" ht="15.75" customHeight="1" x14ac:dyDescent="0.2">
      <c r="A31" s="2" t="s">
        <v>200</v>
      </c>
      <c r="B31" s="2" t="s">
        <v>19</v>
      </c>
      <c r="C31" s="2">
        <v>45209</v>
      </c>
      <c r="D31" s="2" t="s">
        <v>20</v>
      </c>
      <c r="E31" s="2" t="s">
        <v>69</v>
      </c>
      <c r="F31" s="2" t="s">
        <v>22</v>
      </c>
      <c r="G31" s="2">
        <v>2.1</v>
      </c>
      <c r="H31" s="2">
        <v>0.8</v>
      </c>
      <c r="N31" s="2">
        <v>1441</v>
      </c>
      <c r="O31" s="2">
        <v>1441</v>
      </c>
      <c r="P31" s="2">
        <v>0</v>
      </c>
      <c r="Q31" s="2">
        <v>0</v>
      </c>
      <c r="R31" s="2">
        <v>0</v>
      </c>
      <c r="S31" s="2">
        <v>0</v>
      </c>
      <c r="T31" s="2">
        <f t="shared" si="0"/>
        <v>0</v>
      </c>
      <c r="U31" s="2">
        <f t="shared" si="1"/>
        <v>0</v>
      </c>
      <c r="V31" s="2">
        <v>45.511821850272007</v>
      </c>
      <c r="W31" s="2">
        <v>11.133266889801961</v>
      </c>
      <c r="X31" s="2">
        <f t="shared" si="2"/>
        <v>1.6800000000000002</v>
      </c>
      <c r="Y31" s="2">
        <f t="shared" si="3"/>
        <v>2420.88</v>
      </c>
      <c r="Z31" s="2" t="str">
        <f t="shared" si="4"/>
        <v/>
      </c>
      <c r="AA31" s="2">
        <f t="shared" si="5"/>
        <v>0</v>
      </c>
    </row>
    <row r="32" spans="1:27" ht="15.75" customHeight="1" x14ac:dyDescent="0.2">
      <c r="A32" s="2" t="s">
        <v>201</v>
      </c>
      <c r="B32" s="2" t="s">
        <v>35</v>
      </c>
      <c r="C32" s="2">
        <v>45138</v>
      </c>
      <c r="D32" s="2" t="s">
        <v>44</v>
      </c>
      <c r="E32" s="2" t="s">
        <v>202</v>
      </c>
      <c r="F32" s="2" t="s">
        <v>13</v>
      </c>
      <c r="G32" s="2">
        <v>4</v>
      </c>
      <c r="H32" s="2">
        <v>1.3</v>
      </c>
      <c r="I32" s="2" t="s">
        <v>112</v>
      </c>
      <c r="N32" s="2">
        <v>601</v>
      </c>
      <c r="O32" s="2">
        <v>607</v>
      </c>
      <c r="P32" s="2">
        <v>1</v>
      </c>
      <c r="Q32" s="2">
        <v>2</v>
      </c>
      <c r="R32" s="2">
        <v>1</v>
      </c>
      <c r="S32" s="2">
        <v>2</v>
      </c>
      <c r="T32" s="2">
        <f t="shared" si="0"/>
        <v>6.5897858319604614E-3</v>
      </c>
      <c r="U32" s="2">
        <f t="shared" si="1"/>
        <v>9.8846787479406912E-3</v>
      </c>
      <c r="V32" s="2">
        <v>45.35162477817498</v>
      </c>
      <c r="W32" s="2">
        <v>11.64095692210004</v>
      </c>
      <c r="X32" s="2">
        <f t="shared" si="2"/>
        <v>5.2</v>
      </c>
      <c r="Y32" s="2">
        <f t="shared" si="3"/>
        <v>3156.4</v>
      </c>
      <c r="Z32" s="2">
        <f t="shared" si="4"/>
        <v>9.8846787479406912E-3</v>
      </c>
      <c r="AA32" s="2">
        <f t="shared" si="5"/>
        <v>1</v>
      </c>
    </row>
    <row r="33" spans="1:27" ht="15.75" customHeight="1" x14ac:dyDescent="0.2">
      <c r="A33" s="2" t="s">
        <v>203</v>
      </c>
      <c r="B33" s="2" t="s">
        <v>35</v>
      </c>
      <c r="C33" s="2">
        <v>45138</v>
      </c>
      <c r="D33" s="2" t="s">
        <v>44</v>
      </c>
      <c r="E33" s="2" t="s">
        <v>202</v>
      </c>
      <c r="F33" s="2" t="s">
        <v>66</v>
      </c>
      <c r="G33" s="2">
        <v>2.6</v>
      </c>
      <c r="H33" s="2">
        <v>0.9</v>
      </c>
      <c r="I33" s="2" t="s">
        <v>14</v>
      </c>
      <c r="J33" s="2">
        <v>6</v>
      </c>
      <c r="K33" s="2">
        <v>1</v>
      </c>
      <c r="L33" s="2">
        <v>4</v>
      </c>
      <c r="N33" s="2">
        <v>1734</v>
      </c>
      <c r="O33" s="2">
        <v>1760</v>
      </c>
      <c r="P33" s="2">
        <v>0</v>
      </c>
      <c r="Q33" s="2">
        <v>4</v>
      </c>
      <c r="R33" s="2">
        <v>7</v>
      </c>
      <c r="S33" s="2">
        <v>4</v>
      </c>
      <c r="T33" s="2">
        <f t="shared" si="0"/>
        <v>6.3920454545454549E-3</v>
      </c>
      <c r="U33" s="2">
        <f t="shared" si="1"/>
        <v>1.0795454545454546E-2</v>
      </c>
      <c r="V33" s="2">
        <v>45.375074569197587</v>
      </c>
      <c r="W33" s="2">
        <v>11.66342272358745</v>
      </c>
      <c r="X33" s="2">
        <f t="shared" si="2"/>
        <v>2.3400000000000003</v>
      </c>
      <c r="Y33" s="2">
        <f t="shared" si="3"/>
        <v>4118.4000000000005</v>
      </c>
      <c r="Z33" s="2">
        <f t="shared" si="4"/>
        <v>1.0795454545454546E-2</v>
      </c>
      <c r="AA33" s="2">
        <f t="shared" si="5"/>
        <v>1</v>
      </c>
    </row>
    <row r="34" spans="1:27" ht="15.75" customHeight="1" x14ac:dyDescent="0.2">
      <c r="A34" s="2" t="s">
        <v>204</v>
      </c>
      <c r="B34" s="2" t="s">
        <v>35</v>
      </c>
      <c r="C34" s="2">
        <v>45138</v>
      </c>
      <c r="D34" s="2" t="s">
        <v>44</v>
      </c>
      <c r="E34" s="2" t="s">
        <v>202</v>
      </c>
      <c r="F34" s="2" t="s">
        <v>100</v>
      </c>
      <c r="G34" s="2">
        <v>2.6</v>
      </c>
      <c r="H34" s="2">
        <v>0.9</v>
      </c>
      <c r="I34" s="2" t="s">
        <v>14</v>
      </c>
      <c r="J34" s="2">
        <v>16</v>
      </c>
      <c r="L34" s="2">
        <v>6</v>
      </c>
      <c r="N34" s="2">
        <v>1957</v>
      </c>
      <c r="O34" s="2">
        <v>2000</v>
      </c>
      <c r="P34" s="2">
        <v>0</v>
      </c>
      <c r="Q34" s="2">
        <v>7</v>
      </c>
      <c r="R34" s="2">
        <v>9</v>
      </c>
      <c r="S34" s="2">
        <v>5</v>
      </c>
      <c r="T34" s="2">
        <f t="shared" ref="T34:T65" si="6">(P34*0.25+Q34*0.5+R34*0.75+S34*1)/O34</f>
        <v>7.6249999999999998E-3</v>
      </c>
      <c r="U34" s="2">
        <f t="shared" ref="U34:U65" si="7">(SUM(P34:S34,L34:M34)/SUM(O34))</f>
        <v>1.35E-2</v>
      </c>
      <c r="V34" s="2">
        <v>45.375936151991027</v>
      </c>
      <c r="W34" s="2">
        <v>11.6621938936972</v>
      </c>
      <c r="X34" s="2">
        <f t="shared" ref="X34:X65" si="8">+G34*H34</f>
        <v>2.3400000000000003</v>
      </c>
      <c r="Y34" s="2">
        <f t="shared" ref="Y34:Y65" si="9">+O34*X34</f>
        <v>4680.0000000000009</v>
      </c>
      <c r="Z34" s="2">
        <f t="shared" ref="Z34:Z65" si="10">IF(U34&gt;0,U34,"")</f>
        <v>1.35E-2</v>
      </c>
      <c r="AA34" s="2">
        <f t="shared" si="5"/>
        <v>1</v>
      </c>
    </row>
    <row r="35" spans="1:27" ht="15.75" customHeight="1" x14ac:dyDescent="0.2">
      <c r="A35" s="2" t="s">
        <v>205</v>
      </c>
      <c r="B35" s="2" t="s">
        <v>35</v>
      </c>
      <c r="C35" s="2">
        <v>45138</v>
      </c>
      <c r="D35" s="2" t="s">
        <v>44</v>
      </c>
      <c r="E35" s="2" t="s">
        <v>206</v>
      </c>
      <c r="F35" s="2" t="s">
        <v>13</v>
      </c>
      <c r="G35" s="2">
        <v>2.8</v>
      </c>
      <c r="H35" s="2">
        <v>1</v>
      </c>
      <c r="I35" s="2" t="s">
        <v>14</v>
      </c>
      <c r="J35" s="2">
        <v>4</v>
      </c>
      <c r="K35" s="2">
        <v>1</v>
      </c>
      <c r="L35" s="2">
        <v>2</v>
      </c>
      <c r="N35" s="2">
        <v>960</v>
      </c>
      <c r="O35" s="2">
        <v>1000</v>
      </c>
      <c r="P35" s="2">
        <v>0</v>
      </c>
      <c r="Q35" s="2">
        <v>6</v>
      </c>
      <c r="R35" s="2">
        <v>12</v>
      </c>
      <c r="S35" s="2">
        <v>15</v>
      </c>
      <c r="T35" s="2">
        <f t="shared" si="6"/>
        <v>2.7E-2</v>
      </c>
      <c r="U35" s="2">
        <f t="shared" si="7"/>
        <v>3.5000000000000003E-2</v>
      </c>
      <c r="V35" s="2">
        <v>45.325137697658917</v>
      </c>
      <c r="W35" s="2">
        <v>11.68026929251795</v>
      </c>
      <c r="X35" s="2">
        <f t="shared" si="8"/>
        <v>2.8</v>
      </c>
      <c r="Y35" s="2">
        <f t="shared" si="9"/>
        <v>2800</v>
      </c>
      <c r="Z35" s="2">
        <f t="shared" si="10"/>
        <v>3.5000000000000003E-2</v>
      </c>
      <c r="AA35" s="2">
        <f t="shared" si="5"/>
        <v>1</v>
      </c>
    </row>
    <row r="36" spans="1:27" ht="15.75" customHeight="1" x14ac:dyDescent="0.2">
      <c r="A36" s="2" t="s">
        <v>207</v>
      </c>
      <c r="B36" s="2" t="s">
        <v>35</v>
      </c>
      <c r="C36" s="2">
        <v>45138</v>
      </c>
      <c r="D36" s="2" t="s">
        <v>44</v>
      </c>
      <c r="E36" s="2" t="s">
        <v>206</v>
      </c>
      <c r="F36" s="2" t="s">
        <v>13</v>
      </c>
      <c r="G36" s="2">
        <v>2.9</v>
      </c>
      <c r="H36" s="2">
        <v>1.25</v>
      </c>
      <c r="I36" s="2" t="s">
        <v>18</v>
      </c>
      <c r="J36" s="2">
        <v>15</v>
      </c>
      <c r="L36" s="2">
        <v>65</v>
      </c>
      <c r="N36" s="2">
        <v>318</v>
      </c>
      <c r="O36" s="2">
        <v>400</v>
      </c>
      <c r="P36" s="2">
        <v>0</v>
      </c>
      <c r="Q36" s="2">
        <v>1</v>
      </c>
      <c r="R36" s="2">
        <v>1</v>
      </c>
      <c r="S36" s="2">
        <v>0</v>
      </c>
      <c r="T36" s="2">
        <f t="shared" si="6"/>
        <v>3.1250000000000002E-3</v>
      </c>
      <c r="U36" s="2">
        <f t="shared" si="7"/>
        <v>0.16750000000000001</v>
      </c>
      <c r="V36" s="2">
        <v>45.324966964095658</v>
      </c>
      <c r="W36" s="2">
        <v>11.67549669541026</v>
      </c>
      <c r="X36" s="2">
        <f t="shared" si="8"/>
        <v>3.625</v>
      </c>
      <c r="Y36" s="2">
        <f t="shared" si="9"/>
        <v>1450</v>
      </c>
      <c r="Z36" s="2">
        <f t="shared" si="10"/>
        <v>0.16750000000000001</v>
      </c>
      <c r="AA36" s="2">
        <f t="shared" si="5"/>
        <v>1</v>
      </c>
    </row>
    <row r="37" spans="1:27" ht="15.75" customHeight="1" x14ac:dyDescent="0.2">
      <c r="A37" s="2" t="s">
        <v>208</v>
      </c>
      <c r="B37" s="2" t="s">
        <v>35</v>
      </c>
      <c r="C37" s="2">
        <v>45138</v>
      </c>
      <c r="D37" s="2" t="s">
        <v>44</v>
      </c>
      <c r="E37" s="2" t="s">
        <v>206</v>
      </c>
      <c r="F37" s="2" t="s">
        <v>27</v>
      </c>
      <c r="G37" s="2">
        <v>2.5</v>
      </c>
      <c r="H37" s="2">
        <v>0.9</v>
      </c>
      <c r="I37" s="2" t="s">
        <v>14</v>
      </c>
      <c r="J37" s="2">
        <v>5</v>
      </c>
      <c r="L37" s="2">
        <v>6</v>
      </c>
      <c r="N37" s="2">
        <v>729</v>
      </c>
      <c r="O37" s="2">
        <v>740</v>
      </c>
      <c r="P37" s="2">
        <v>0</v>
      </c>
      <c r="Q37" s="2">
        <v>0</v>
      </c>
      <c r="R37" s="2">
        <v>0</v>
      </c>
      <c r="S37" s="2">
        <v>0</v>
      </c>
      <c r="T37" s="2">
        <f t="shared" si="6"/>
        <v>0</v>
      </c>
      <c r="U37" s="2">
        <f t="shared" si="7"/>
        <v>8.1081081081081086E-3</v>
      </c>
      <c r="V37" s="2">
        <v>45.324981084366563</v>
      </c>
      <c r="W37" s="2">
        <v>11.67527644927098</v>
      </c>
      <c r="X37" s="2">
        <f t="shared" si="8"/>
        <v>2.25</v>
      </c>
      <c r="Y37" s="2">
        <f t="shared" si="9"/>
        <v>1665</v>
      </c>
      <c r="Z37" s="2">
        <f t="shared" si="10"/>
        <v>8.1081081081081086E-3</v>
      </c>
      <c r="AA37" s="2">
        <f t="shared" si="5"/>
        <v>1</v>
      </c>
    </row>
    <row r="38" spans="1:27" ht="15.75" customHeight="1" x14ac:dyDescent="0.2">
      <c r="A38" s="2" t="s">
        <v>209</v>
      </c>
      <c r="B38" s="2" t="s">
        <v>43</v>
      </c>
      <c r="C38" s="2">
        <v>45153</v>
      </c>
      <c r="D38" s="2" t="s">
        <v>44</v>
      </c>
      <c r="E38" s="2" t="s">
        <v>110</v>
      </c>
      <c r="F38" s="2" t="s">
        <v>13</v>
      </c>
      <c r="G38" s="2">
        <v>2.9</v>
      </c>
      <c r="H38" s="2">
        <v>1.3</v>
      </c>
      <c r="I38" s="2" t="s">
        <v>18</v>
      </c>
      <c r="N38" s="2">
        <v>79</v>
      </c>
      <c r="O38" s="2">
        <v>79</v>
      </c>
      <c r="P38" s="2">
        <v>0</v>
      </c>
      <c r="Q38" s="2">
        <v>0</v>
      </c>
      <c r="R38" s="2">
        <v>0</v>
      </c>
      <c r="S38" s="2">
        <v>0</v>
      </c>
      <c r="T38" s="2">
        <f t="shared" si="6"/>
        <v>0</v>
      </c>
      <c r="U38" s="2">
        <f t="shared" si="7"/>
        <v>0</v>
      </c>
      <c r="V38" s="2">
        <v>45.240397669986983</v>
      </c>
      <c r="W38" s="2">
        <v>11.96188623802542</v>
      </c>
      <c r="X38" s="2">
        <f t="shared" si="8"/>
        <v>3.77</v>
      </c>
      <c r="Y38" s="2">
        <f t="shared" si="9"/>
        <v>297.83</v>
      </c>
      <c r="Z38" s="2" t="str">
        <f t="shared" si="10"/>
        <v/>
      </c>
      <c r="AA38" s="2">
        <f t="shared" si="5"/>
        <v>0</v>
      </c>
    </row>
    <row r="39" spans="1:27" ht="15.75" customHeight="1" x14ac:dyDescent="0.2">
      <c r="A39" s="2" t="s">
        <v>210</v>
      </c>
      <c r="B39" s="2" t="s">
        <v>35</v>
      </c>
      <c r="C39" s="2">
        <v>45138</v>
      </c>
      <c r="D39" s="2" t="s">
        <v>44</v>
      </c>
      <c r="E39" s="2" t="s">
        <v>211</v>
      </c>
      <c r="F39" s="2" t="s">
        <v>13</v>
      </c>
      <c r="G39" s="2">
        <v>2.8</v>
      </c>
      <c r="H39" s="2">
        <v>0.8</v>
      </c>
      <c r="I39" s="2" t="s">
        <v>29</v>
      </c>
      <c r="J39" s="2">
        <v>5</v>
      </c>
      <c r="N39" s="2">
        <v>395</v>
      </c>
      <c r="O39" s="2">
        <v>400</v>
      </c>
      <c r="P39" s="2">
        <v>0</v>
      </c>
      <c r="Q39" s="2">
        <v>0</v>
      </c>
      <c r="R39" s="2">
        <v>0</v>
      </c>
      <c r="S39" s="2">
        <v>0</v>
      </c>
      <c r="T39" s="2">
        <f t="shared" si="6"/>
        <v>0</v>
      </c>
      <c r="U39" s="2">
        <f t="shared" si="7"/>
        <v>0</v>
      </c>
      <c r="V39" s="2">
        <v>45.350684806184439</v>
      </c>
      <c r="W39" s="2">
        <v>11.72197185777895</v>
      </c>
      <c r="X39" s="2">
        <f t="shared" si="8"/>
        <v>2.2399999999999998</v>
      </c>
      <c r="Y39" s="2">
        <f t="shared" si="9"/>
        <v>895.99999999999989</v>
      </c>
      <c r="Z39" s="2" t="str">
        <f t="shared" si="10"/>
        <v/>
      </c>
      <c r="AA39" s="2">
        <f t="shared" si="5"/>
        <v>0</v>
      </c>
    </row>
    <row r="40" spans="1:27" ht="15.75" customHeight="1" x14ac:dyDescent="0.2">
      <c r="A40" s="2" t="s">
        <v>212</v>
      </c>
      <c r="B40" s="2" t="s">
        <v>35</v>
      </c>
      <c r="C40" s="2">
        <v>45138</v>
      </c>
      <c r="D40" s="2" t="s">
        <v>44</v>
      </c>
      <c r="E40" s="2" t="s">
        <v>211</v>
      </c>
      <c r="F40" s="2" t="s">
        <v>27</v>
      </c>
      <c r="G40" s="2">
        <v>2.9</v>
      </c>
      <c r="H40" s="2">
        <v>3</v>
      </c>
      <c r="I40" s="2" t="s">
        <v>112</v>
      </c>
      <c r="N40" s="2">
        <v>129</v>
      </c>
      <c r="O40" s="2">
        <v>130</v>
      </c>
      <c r="P40" s="2">
        <v>0</v>
      </c>
      <c r="Q40" s="2">
        <v>0</v>
      </c>
      <c r="R40" s="2">
        <v>0</v>
      </c>
      <c r="S40" s="2">
        <v>1</v>
      </c>
      <c r="T40" s="2">
        <f t="shared" si="6"/>
        <v>7.6923076923076927E-3</v>
      </c>
      <c r="U40" s="2">
        <f t="shared" si="7"/>
        <v>7.6923076923076927E-3</v>
      </c>
      <c r="V40" s="2">
        <v>45.32942838135709</v>
      </c>
      <c r="W40" s="2">
        <v>11.70789944063563</v>
      </c>
      <c r="X40" s="2">
        <f t="shared" si="8"/>
        <v>8.6999999999999993</v>
      </c>
      <c r="Y40" s="2">
        <f t="shared" si="9"/>
        <v>1131</v>
      </c>
      <c r="Z40" s="2">
        <f t="shared" si="10"/>
        <v>7.6923076923076927E-3</v>
      </c>
      <c r="AA40" s="2">
        <f t="shared" si="5"/>
        <v>1</v>
      </c>
    </row>
    <row r="41" spans="1:27" ht="15.75" customHeight="1" x14ac:dyDescent="0.2">
      <c r="A41" s="2" t="s">
        <v>213</v>
      </c>
      <c r="B41" s="2" t="s">
        <v>43</v>
      </c>
      <c r="C41" s="2">
        <v>45155</v>
      </c>
      <c r="D41" s="2" t="s">
        <v>44</v>
      </c>
      <c r="E41" s="2" t="s">
        <v>132</v>
      </c>
      <c r="F41" s="2" t="s">
        <v>13</v>
      </c>
      <c r="G41" s="2">
        <v>2.8</v>
      </c>
      <c r="H41" s="2">
        <v>1.2</v>
      </c>
      <c r="I41" s="2" t="s">
        <v>18</v>
      </c>
      <c r="N41" s="2">
        <v>1048</v>
      </c>
      <c r="O41" s="2">
        <v>1058</v>
      </c>
      <c r="P41" s="2">
        <v>0</v>
      </c>
      <c r="Q41" s="2">
        <v>4</v>
      </c>
      <c r="R41" s="2">
        <v>0</v>
      </c>
      <c r="S41" s="2">
        <v>6</v>
      </c>
      <c r="T41" s="2">
        <f t="shared" si="6"/>
        <v>7.5614366729678641E-3</v>
      </c>
      <c r="U41" s="2">
        <f t="shared" si="7"/>
        <v>9.4517958412098299E-3</v>
      </c>
      <c r="V41" s="2">
        <v>45.200895711182902</v>
      </c>
      <c r="W41" s="2">
        <v>11.830125336901251</v>
      </c>
      <c r="X41" s="2">
        <f t="shared" si="8"/>
        <v>3.36</v>
      </c>
      <c r="Y41" s="2">
        <f t="shared" si="9"/>
        <v>3554.8799999999997</v>
      </c>
      <c r="Z41" s="2">
        <f t="shared" si="10"/>
        <v>9.4517958412098299E-3</v>
      </c>
      <c r="AA41" s="2">
        <f t="shared" si="5"/>
        <v>1</v>
      </c>
    </row>
    <row r="42" spans="1:27" ht="15.75" customHeight="1" x14ac:dyDescent="0.2">
      <c r="A42" s="2" t="s">
        <v>214</v>
      </c>
      <c r="B42" s="2" t="s">
        <v>43</v>
      </c>
      <c r="C42" s="2">
        <v>45155</v>
      </c>
      <c r="D42" s="2" t="s">
        <v>44</v>
      </c>
      <c r="E42" s="2" t="s">
        <v>132</v>
      </c>
      <c r="F42" s="2" t="s">
        <v>13</v>
      </c>
      <c r="G42" s="2">
        <v>2.65</v>
      </c>
      <c r="H42" s="2">
        <v>1.5</v>
      </c>
      <c r="I42" s="2" t="s">
        <v>18</v>
      </c>
      <c r="L42" s="2">
        <v>4</v>
      </c>
      <c r="N42" s="2">
        <v>759</v>
      </c>
      <c r="O42" s="2">
        <v>799</v>
      </c>
      <c r="P42" s="2">
        <v>0</v>
      </c>
      <c r="Q42" s="2">
        <v>10</v>
      </c>
      <c r="R42" s="2">
        <v>0</v>
      </c>
      <c r="S42" s="2">
        <v>26</v>
      </c>
      <c r="T42" s="2">
        <f t="shared" si="6"/>
        <v>3.8798498122653319E-2</v>
      </c>
      <c r="U42" s="2">
        <f t="shared" si="7"/>
        <v>5.0062578222778473E-2</v>
      </c>
      <c r="V42" s="2">
        <v>45.21449514113062</v>
      </c>
      <c r="W42" s="2">
        <v>11.816838323244919</v>
      </c>
      <c r="X42" s="2">
        <f t="shared" si="8"/>
        <v>3.9749999999999996</v>
      </c>
      <c r="Y42" s="2">
        <f t="shared" si="9"/>
        <v>3176.0249999999996</v>
      </c>
      <c r="Z42" s="2">
        <f t="shared" si="10"/>
        <v>5.0062578222778473E-2</v>
      </c>
      <c r="AA42" s="2">
        <f t="shared" si="5"/>
        <v>1</v>
      </c>
    </row>
    <row r="43" spans="1:27" ht="15.75" customHeight="1" x14ac:dyDescent="0.2">
      <c r="A43" s="2" t="s">
        <v>215</v>
      </c>
      <c r="B43" s="2" t="s">
        <v>43</v>
      </c>
      <c r="C43" s="2">
        <v>45155</v>
      </c>
      <c r="D43" s="2" t="s">
        <v>44</v>
      </c>
      <c r="E43" s="2" t="s">
        <v>132</v>
      </c>
      <c r="F43" s="2" t="s">
        <v>13</v>
      </c>
      <c r="G43" s="2">
        <v>2.65</v>
      </c>
      <c r="H43" s="2">
        <v>1.5</v>
      </c>
      <c r="I43" s="2" t="s">
        <v>18</v>
      </c>
      <c r="L43" s="2">
        <v>3</v>
      </c>
      <c r="N43" s="2">
        <v>735</v>
      </c>
      <c r="O43" s="2">
        <v>810</v>
      </c>
      <c r="P43" s="2">
        <v>0</v>
      </c>
      <c r="Q43" s="2">
        <v>6</v>
      </c>
      <c r="R43" s="2">
        <v>4</v>
      </c>
      <c r="S43" s="2">
        <v>62</v>
      </c>
      <c r="T43" s="2">
        <f t="shared" si="6"/>
        <v>8.3950617283950618E-2</v>
      </c>
      <c r="U43" s="2">
        <f t="shared" si="7"/>
        <v>9.2592592592592587E-2</v>
      </c>
      <c r="V43" s="2">
        <v>45.215097978041968</v>
      </c>
      <c r="W43" s="2">
        <v>11.81748677663297</v>
      </c>
      <c r="X43" s="2">
        <f t="shared" si="8"/>
        <v>3.9749999999999996</v>
      </c>
      <c r="Y43" s="2">
        <f t="shared" si="9"/>
        <v>3219.7499999999995</v>
      </c>
      <c r="Z43" s="2">
        <f t="shared" si="10"/>
        <v>9.2592592592592587E-2</v>
      </c>
      <c r="AA43" s="2">
        <f t="shared" si="5"/>
        <v>1</v>
      </c>
    </row>
    <row r="44" spans="1:27" ht="15.75" customHeight="1" x14ac:dyDescent="0.2">
      <c r="A44" s="2" t="s">
        <v>216</v>
      </c>
      <c r="B44" s="2" t="s">
        <v>40</v>
      </c>
      <c r="C44" s="2">
        <v>45139</v>
      </c>
      <c r="D44" s="2" t="s">
        <v>15</v>
      </c>
      <c r="E44" s="2" t="s">
        <v>80</v>
      </c>
      <c r="F44" s="2" t="s">
        <v>13</v>
      </c>
      <c r="G44" s="2">
        <v>3.5</v>
      </c>
      <c r="H44" s="2">
        <v>2</v>
      </c>
      <c r="J44" s="2">
        <v>1</v>
      </c>
      <c r="K44" s="2">
        <v>31</v>
      </c>
      <c r="M44" s="2">
        <v>1</v>
      </c>
      <c r="N44" s="2">
        <v>420</v>
      </c>
      <c r="O44" s="2">
        <v>457</v>
      </c>
      <c r="P44" s="2">
        <v>0</v>
      </c>
      <c r="Q44" s="2">
        <v>0</v>
      </c>
      <c r="R44" s="2">
        <v>1</v>
      </c>
      <c r="S44" s="2">
        <v>3</v>
      </c>
      <c r="T44" s="2">
        <f t="shared" si="6"/>
        <v>8.2056892778993428E-3</v>
      </c>
      <c r="U44" s="2">
        <f t="shared" si="7"/>
        <v>1.0940919037199124E-2</v>
      </c>
      <c r="V44" s="2">
        <v>45.896965790143469</v>
      </c>
      <c r="W44" s="2">
        <v>12.205446734611471</v>
      </c>
      <c r="X44" s="2">
        <f t="shared" si="8"/>
        <v>7</v>
      </c>
      <c r="Y44" s="2">
        <f t="shared" si="9"/>
        <v>3199</v>
      </c>
      <c r="Z44" s="2">
        <f t="shared" si="10"/>
        <v>1.0940919037199124E-2</v>
      </c>
      <c r="AA44" s="2">
        <f t="shared" si="5"/>
        <v>1</v>
      </c>
    </row>
    <row r="45" spans="1:27" ht="15.75" customHeight="1" x14ac:dyDescent="0.2">
      <c r="A45" s="2" t="s">
        <v>217</v>
      </c>
      <c r="B45" s="2" t="s">
        <v>35</v>
      </c>
      <c r="C45" s="2">
        <v>45145</v>
      </c>
      <c r="D45" s="2" t="s">
        <v>44</v>
      </c>
      <c r="E45" s="2" t="s">
        <v>85</v>
      </c>
      <c r="F45" s="2" t="s">
        <v>93</v>
      </c>
      <c r="G45" s="2">
        <v>2.7</v>
      </c>
      <c r="H45" s="2">
        <v>0.9</v>
      </c>
      <c r="I45" s="2" t="s">
        <v>18</v>
      </c>
      <c r="K45" s="2">
        <v>7</v>
      </c>
      <c r="M45" s="2">
        <v>4</v>
      </c>
      <c r="N45" s="2">
        <v>1277</v>
      </c>
      <c r="O45" s="2">
        <v>1290</v>
      </c>
      <c r="P45" s="2">
        <v>0</v>
      </c>
      <c r="Q45" s="2">
        <v>1</v>
      </c>
      <c r="R45" s="2">
        <v>0</v>
      </c>
      <c r="S45" s="2">
        <v>1</v>
      </c>
      <c r="T45" s="2">
        <f t="shared" si="6"/>
        <v>1.1627906976744186E-3</v>
      </c>
      <c r="U45" s="2">
        <f t="shared" si="7"/>
        <v>4.6511627906976744E-3</v>
      </c>
      <c r="V45" s="2">
        <v>45.34207127245746</v>
      </c>
      <c r="W45" s="2">
        <v>11.641568055652559</v>
      </c>
      <c r="X45" s="2">
        <f t="shared" si="8"/>
        <v>2.4300000000000002</v>
      </c>
      <c r="Y45" s="2">
        <f t="shared" si="9"/>
        <v>3134.7000000000003</v>
      </c>
      <c r="Z45" s="2">
        <f t="shared" si="10"/>
        <v>4.6511627906976744E-3</v>
      </c>
      <c r="AA45" s="2">
        <f t="shared" si="5"/>
        <v>1</v>
      </c>
    </row>
    <row r="46" spans="1:27" ht="15.75" customHeight="1" x14ac:dyDescent="0.2">
      <c r="A46" s="2" t="s">
        <v>218</v>
      </c>
      <c r="B46" s="2" t="s">
        <v>35</v>
      </c>
      <c r="C46" s="2">
        <v>45145</v>
      </c>
      <c r="D46" s="2" t="s">
        <v>44</v>
      </c>
      <c r="E46" s="2" t="s">
        <v>85</v>
      </c>
      <c r="F46" s="2" t="s">
        <v>13</v>
      </c>
      <c r="G46" s="2">
        <v>2.8</v>
      </c>
      <c r="H46" s="2">
        <v>0.8</v>
      </c>
      <c r="I46" s="2" t="s">
        <v>14</v>
      </c>
      <c r="N46" s="2">
        <v>1867</v>
      </c>
      <c r="O46" s="2">
        <v>1900</v>
      </c>
      <c r="P46" s="2">
        <v>10</v>
      </c>
      <c r="Q46" s="2">
        <v>9</v>
      </c>
      <c r="R46" s="2">
        <v>10</v>
      </c>
      <c r="S46" s="2">
        <v>4</v>
      </c>
      <c r="T46" s="2">
        <f t="shared" si="6"/>
        <v>9.7368421052631583E-3</v>
      </c>
      <c r="U46" s="2">
        <f t="shared" si="7"/>
        <v>1.7368421052631578E-2</v>
      </c>
      <c r="V46" s="2">
        <v>45.31252933725289</v>
      </c>
      <c r="W46" s="2">
        <v>11.64225938445894</v>
      </c>
      <c r="X46" s="2">
        <f t="shared" si="8"/>
        <v>2.2399999999999998</v>
      </c>
      <c r="Y46" s="2">
        <f t="shared" si="9"/>
        <v>4256</v>
      </c>
      <c r="Z46" s="2">
        <f t="shared" si="10"/>
        <v>1.7368421052631578E-2</v>
      </c>
      <c r="AA46" s="2">
        <f t="shared" si="5"/>
        <v>1</v>
      </c>
    </row>
    <row r="47" spans="1:27" ht="15.75" customHeight="1" x14ac:dyDescent="0.2">
      <c r="A47" s="2" t="s">
        <v>219</v>
      </c>
      <c r="B47" s="2" t="s">
        <v>35</v>
      </c>
      <c r="C47" s="2">
        <v>45145</v>
      </c>
      <c r="D47" s="2" t="s">
        <v>44</v>
      </c>
      <c r="E47" s="2" t="s">
        <v>85</v>
      </c>
      <c r="F47" s="2" t="s">
        <v>124</v>
      </c>
      <c r="G47" s="2">
        <v>3</v>
      </c>
      <c r="H47" s="2">
        <v>1.2</v>
      </c>
      <c r="I47" s="2" t="s">
        <v>18</v>
      </c>
      <c r="N47" s="2">
        <v>946</v>
      </c>
      <c r="O47" s="2">
        <v>1010</v>
      </c>
      <c r="P47" s="2">
        <v>20</v>
      </c>
      <c r="Q47" s="2">
        <v>16</v>
      </c>
      <c r="R47" s="2">
        <v>22</v>
      </c>
      <c r="S47" s="2">
        <v>6</v>
      </c>
      <c r="T47" s="2">
        <f t="shared" si="6"/>
        <v>3.5148514851485152E-2</v>
      </c>
      <c r="U47" s="2">
        <f t="shared" si="7"/>
        <v>6.3366336633663367E-2</v>
      </c>
      <c r="V47" s="2">
        <v>45.33541892908579</v>
      </c>
      <c r="W47" s="2">
        <v>11.65140353747686</v>
      </c>
      <c r="X47" s="2">
        <f t="shared" si="8"/>
        <v>3.5999999999999996</v>
      </c>
      <c r="Y47" s="2">
        <f t="shared" si="9"/>
        <v>3635.9999999999995</v>
      </c>
      <c r="Z47" s="2">
        <f t="shared" si="10"/>
        <v>6.3366336633663367E-2</v>
      </c>
      <c r="AA47" s="2">
        <f t="shared" si="5"/>
        <v>1</v>
      </c>
    </row>
    <row r="48" spans="1:27" ht="15.75" customHeight="1" x14ac:dyDescent="0.2">
      <c r="A48" s="2" t="s">
        <v>220</v>
      </c>
      <c r="B48" s="2" t="s">
        <v>35</v>
      </c>
      <c r="C48" s="2">
        <v>45145</v>
      </c>
      <c r="D48" s="2" t="s">
        <v>44</v>
      </c>
      <c r="E48" s="2" t="s">
        <v>85</v>
      </c>
      <c r="F48" s="2" t="s">
        <v>93</v>
      </c>
      <c r="G48" s="2">
        <v>2.7</v>
      </c>
      <c r="H48" s="2">
        <v>0.9</v>
      </c>
      <c r="I48" s="2" t="s">
        <v>18</v>
      </c>
      <c r="J48" s="2">
        <v>29</v>
      </c>
      <c r="K48" s="2">
        <v>3</v>
      </c>
      <c r="N48" s="2">
        <v>1068</v>
      </c>
      <c r="O48" s="2">
        <v>1100</v>
      </c>
      <c r="P48" s="2">
        <v>0</v>
      </c>
      <c r="Q48" s="2">
        <v>0</v>
      </c>
      <c r="R48" s="2">
        <v>0</v>
      </c>
      <c r="S48" s="2">
        <v>0</v>
      </c>
      <c r="T48" s="2">
        <f t="shared" si="6"/>
        <v>0</v>
      </c>
      <c r="U48" s="2">
        <f t="shared" si="7"/>
        <v>0</v>
      </c>
      <c r="V48" s="2">
        <v>45.334690381389692</v>
      </c>
      <c r="W48" s="2">
        <v>11.658972829592409</v>
      </c>
      <c r="X48" s="2">
        <f t="shared" si="8"/>
        <v>2.4300000000000002</v>
      </c>
      <c r="Y48" s="2">
        <f t="shared" si="9"/>
        <v>2673</v>
      </c>
      <c r="Z48" s="2" t="str">
        <f t="shared" si="10"/>
        <v/>
      </c>
      <c r="AA48" s="2">
        <f t="shared" si="5"/>
        <v>0</v>
      </c>
    </row>
    <row r="49" spans="1:27" ht="15.75" customHeight="1" x14ac:dyDescent="0.2">
      <c r="A49" s="2" t="s">
        <v>221</v>
      </c>
      <c r="B49" s="2" t="s">
        <v>35</v>
      </c>
      <c r="C49" s="2">
        <v>45145</v>
      </c>
      <c r="D49" s="2" t="s">
        <v>44</v>
      </c>
      <c r="E49" s="2" t="s">
        <v>85</v>
      </c>
      <c r="F49" s="2" t="s">
        <v>27</v>
      </c>
      <c r="G49" s="2">
        <v>3</v>
      </c>
      <c r="H49" s="2">
        <v>2.5</v>
      </c>
      <c r="I49" s="2" t="s">
        <v>112</v>
      </c>
      <c r="N49" s="2">
        <v>360</v>
      </c>
      <c r="O49" s="2">
        <v>360</v>
      </c>
      <c r="P49" s="2">
        <v>0</v>
      </c>
      <c r="Q49" s="2">
        <v>0</v>
      </c>
      <c r="R49" s="2">
        <v>0</v>
      </c>
      <c r="S49" s="2">
        <v>0</v>
      </c>
      <c r="T49" s="2">
        <f t="shared" si="6"/>
        <v>0</v>
      </c>
      <c r="U49" s="2">
        <f t="shared" si="7"/>
        <v>0</v>
      </c>
      <c r="V49" s="2">
        <v>45.320934017508058</v>
      </c>
      <c r="W49" s="2">
        <v>11.643484675653131</v>
      </c>
      <c r="X49" s="2">
        <f t="shared" si="8"/>
        <v>7.5</v>
      </c>
      <c r="Y49" s="2">
        <f t="shared" si="9"/>
        <v>2700</v>
      </c>
      <c r="Z49" s="2" t="str">
        <f t="shared" si="10"/>
        <v/>
      </c>
      <c r="AA49" s="2">
        <f t="shared" si="5"/>
        <v>0</v>
      </c>
    </row>
    <row r="50" spans="1:27" ht="15.75" customHeight="1" x14ac:dyDescent="0.2">
      <c r="A50" s="2" t="s">
        <v>222</v>
      </c>
      <c r="B50" s="2" t="s">
        <v>35</v>
      </c>
      <c r="C50" s="2">
        <v>45167</v>
      </c>
      <c r="D50" s="2" t="s">
        <v>20</v>
      </c>
      <c r="E50" s="2" t="s">
        <v>51</v>
      </c>
      <c r="F50" s="2" t="s">
        <v>30</v>
      </c>
      <c r="G50" s="2">
        <v>2.2000000000000002</v>
      </c>
      <c r="H50" s="2">
        <v>0.9</v>
      </c>
      <c r="I50" s="2" t="s">
        <v>34</v>
      </c>
      <c r="N50" s="2">
        <v>1380</v>
      </c>
      <c r="O50" s="2">
        <v>1380</v>
      </c>
      <c r="P50" s="2">
        <v>0</v>
      </c>
      <c r="Q50" s="2">
        <v>0</v>
      </c>
      <c r="R50" s="2">
        <v>0</v>
      </c>
      <c r="S50" s="2">
        <v>0</v>
      </c>
      <c r="T50" s="2">
        <f t="shared" si="6"/>
        <v>0</v>
      </c>
      <c r="U50" s="2">
        <f t="shared" si="7"/>
        <v>0</v>
      </c>
      <c r="V50" s="2">
        <v>45.403709321496677</v>
      </c>
      <c r="W50" s="2">
        <v>10.75984935895691</v>
      </c>
      <c r="X50" s="2">
        <f t="shared" si="8"/>
        <v>1.9800000000000002</v>
      </c>
      <c r="Y50" s="2">
        <f t="shared" si="9"/>
        <v>2732.4</v>
      </c>
      <c r="Z50" s="2" t="str">
        <f t="shared" si="10"/>
        <v/>
      </c>
      <c r="AA50" s="2">
        <f t="shared" si="5"/>
        <v>0</v>
      </c>
    </row>
    <row r="51" spans="1:27" ht="15.75" customHeight="1" x14ac:dyDescent="0.2">
      <c r="A51" s="2" t="s">
        <v>223</v>
      </c>
      <c r="B51" s="2" t="s">
        <v>43</v>
      </c>
      <c r="C51" s="2">
        <v>45152</v>
      </c>
      <c r="D51" s="2" t="s">
        <v>44</v>
      </c>
      <c r="E51" s="2" t="s">
        <v>72</v>
      </c>
      <c r="F51" s="2" t="s">
        <v>13</v>
      </c>
      <c r="G51" s="2">
        <v>2.84</v>
      </c>
      <c r="H51" s="2">
        <v>1.1100000000000001</v>
      </c>
      <c r="I51" s="2" t="s">
        <v>29</v>
      </c>
      <c r="J51" s="2">
        <v>30</v>
      </c>
      <c r="L51" s="2">
        <v>1</v>
      </c>
      <c r="M51" s="2">
        <v>1</v>
      </c>
      <c r="N51" s="2">
        <v>350</v>
      </c>
      <c r="O51" s="2">
        <v>400</v>
      </c>
      <c r="P51" s="2">
        <v>6</v>
      </c>
      <c r="Q51" s="2">
        <v>4</v>
      </c>
      <c r="R51" s="2">
        <v>2</v>
      </c>
      <c r="S51" s="2">
        <v>6</v>
      </c>
      <c r="T51" s="2">
        <f t="shared" si="6"/>
        <v>2.75E-2</v>
      </c>
      <c r="U51" s="2">
        <f t="shared" si="7"/>
        <v>0.05</v>
      </c>
      <c r="V51" s="2">
        <v>45.278582035106119</v>
      </c>
      <c r="W51" s="2">
        <v>11.823973382745621</v>
      </c>
      <c r="X51" s="2">
        <f t="shared" si="8"/>
        <v>3.1524000000000001</v>
      </c>
      <c r="Y51" s="2">
        <f t="shared" si="9"/>
        <v>1260.96</v>
      </c>
      <c r="Z51" s="2">
        <f t="shared" si="10"/>
        <v>0.05</v>
      </c>
      <c r="AA51" s="2">
        <f t="shared" si="5"/>
        <v>1</v>
      </c>
    </row>
    <row r="52" spans="1:27" ht="15.75" customHeight="1" x14ac:dyDescent="0.2">
      <c r="A52" s="2" t="s">
        <v>224</v>
      </c>
      <c r="B52" s="2" t="s">
        <v>43</v>
      </c>
      <c r="C52" s="2">
        <v>45152</v>
      </c>
      <c r="D52" s="2" t="s">
        <v>44</v>
      </c>
      <c r="E52" s="2" t="s">
        <v>72</v>
      </c>
      <c r="F52" s="2" t="s">
        <v>27</v>
      </c>
      <c r="G52" s="2">
        <v>2.6</v>
      </c>
      <c r="H52" s="2">
        <v>1</v>
      </c>
      <c r="I52" s="2" t="s">
        <v>29</v>
      </c>
      <c r="N52" s="2">
        <v>823</v>
      </c>
      <c r="O52" s="2">
        <v>825</v>
      </c>
      <c r="P52" s="2">
        <v>2</v>
      </c>
      <c r="Q52" s="2">
        <v>0</v>
      </c>
      <c r="R52" s="2">
        <v>0</v>
      </c>
      <c r="S52" s="2">
        <v>0</v>
      </c>
      <c r="T52" s="2">
        <f t="shared" si="6"/>
        <v>6.0606060606060606E-4</v>
      </c>
      <c r="U52" s="2">
        <f t="shared" si="7"/>
        <v>2.4242424242424242E-3</v>
      </c>
      <c r="V52" s="2">
        <v>45.306418968470552</v>
      </c>
      <c r="W52" s="2">
        <v>11.85003855470007</v>
      </c>
      <c r="X52" s="2">
        <f t="shared" si="8"/>
        <v>2.6</v>
      </c>
      <c r="Y52" s="2">
        <f t="shared" si="9"/>
        <v>2145</v>
      </c>
      <c r="Z52" s="2">
        <f t="shared" si="10"/>
        <v>2.4242424242424242E-3</v>
      </c>
      <c r="AA52" s="2">
        <f t="shared" si="5"/>
        <v>1</v>
      </c>
    </row>
    <row r="53" spans="1:27" ht="15.75" customHeight="1" x14ac:dyDescent="0.2">
      <c r="A53" s="2" t="s">
        <v>225</v>
      </c>
      <c r="B53" s="2" t="s">
        <v>43</v>
      </c>
      <c r="C53" s="2">
        <v>45152</v>
      </c>
      <c r="D53" s="2" t="s">
        <v>44</v>
      </c>
      <c r="E53" s="2" t="s">
        <v>72</v>
      </c>
      <c r="F53" s="2" t="s">
        <v>13</v>
      </c>
      <c r="G53" s="2">
        <v>2.7</v>
      </c>
      <c r="H53" s="2">
        <v>1.3</v>
      </c>
      <c r="I53" s="2" t="s">
        <v>29</v>
      </c>
      <c r="J53" s="2">
        <v>5</v>
      </c>
      <c r="L53" s="2">
        <v>38</v>
      </c>
      <c r="M53" s="2">
        <v>2</v>
      </c>
      <c r="N53" s="2">
        <v>741</v>
      </c>
      <c r="O53" s="2">
        <v>825</v>
      </c>
      <c r="P53" s="2">
        <v>1</v>
      </c>
      <c r="Q53" s="2">
        <v>9</v>
      </c>
      <c r="R53" s="2">
        <v>19</v>
      </c>
      <c r="S53" s="2">
        <v>10</v>
      </c>
      <c r="T53" s="2">
        <f t="shared" si="6"/>
        <v>3.5151515151515149E-2</v>
      </c>
      <c r="U53" s="2">
        <f t="shared" si="7"/>
        <v>9.5757575757575764E-2</v>
      </c>
      <c r="V53" s="2">
        <v>45.28362655809989</v>
      </c>
      <c r="W53" s="2">
        <v>11.827383793728369</v>
      </c>
      <c r="X53" s="2">
        <f t="shared" si="8"/>
        <v>3.5100000000000002</v>
      </c>
      <c r="Y53" s="2">
        <f t="shared" si="9"/>
        <v>2895.75</v>
      </c>
      <c r="Z53" s="2">
        <f t="shared" si="10"/>
        <v>9.5757575757575764E-2</v>
      </c>
      <c r="AA53" s="2">
        <f t="shared" si="5"/>
        <v>1</v>
      </c>
    </row>
    <row r="54" spans="1:27" ht="15.75" customHeight="1" x14ac:dyDescent="0.2">
      <c r="A54" s="2" t="s">
        <v>226</v>
      </c>
      <c r="B54" s="2" t="s">
        <v>19</v>
      </c>
      <c r="C54" s="2">
        <v>45213</v>
      </c>
      <c r="D54" s="2" t="s">
        <v>20</v>
      </c>
      <c r="E54" s="2" t="s">
        <v>48</v>
      </c>
      <c r="F54" s="2" t="s">
        <v>25</v>
      </c>
      <c r="G54" s="2">
        <v>2.5</v>
      </c>
      <c r="H54" s="2">
        <v>0.8</v>
      </c>
      <c r="I54" s="2" t="s">
        <v>18</v>
      </c>
      <c r="J54" s="2">
        <v>10</v>
      </c>
      <c r="N54" s="2">
        <v>226</v>
      </c>
      <c r="O54" s="2">
        <v>236</v>
      </c>
      <c r="P54" s="2">
        <v>0</v>
      </c>
      <c r="Q54" s="2">
        <v>0</v>
      </c>
      <c r="R54" s="2">
        <v>0</v>
      </c>
      <c r="S54" s="2">
        <v>0</v>
      </c>
      <c r="T54" s="2">
        <f t="shared" si="6"/>
        <v>0</v>
      </c>
      <c r="U54" s="2">
        <f t="shared" si="7"/>
        <v>0</v>
      </c>
      <c r="V54" s="2">
        <v>45.511264379284931</v>
      </c>
      <c r="W54" s="2">
        <v>10.859961932070171</v>
      </c>
      <c r="X54" s="2">
        <f t="shared" si="8"/>
        <v>2</v>
      </c>
      <c r="Y54" s="2">
        <f t="shared" si="9"/>
        <v>472</v>
      </c>
      <c r="Z54" s="2" t="str">
        <f t="shared" si="10"/>
        <v/>
      </c>
      <c r="AA54" s="2">
        <f t="shared" si="5"/>
        <v>0</v>
      </c>
    </row>
    <row r="55" spans="1:27" ht="15.75" customHeight="1" x14ac:dyDescent="0.2">
      <c r="A55" s="2" t="s">
        <v>227</v>
      </c>
      <c r="B55" s="2" t="s">
        <v>35</v>
      </c>
      <c r="C55" s="2">
        <v>45148</v>
      </c>
      <c r="D55" s="2" t="s">
        <v>20</v>
      </c>
      <c r="E55" s="2" t="s">
        <v>71</v>
      </c>
      <c r="F55" s="2" t="s">
        <v>27</v>
      </c>
      <c r="G55" s="2">
        <v>0.9</v>
      </c>
      <c r="H55" s="2">
        <v>2.5</v>
      </c>
      <c r="I55" s="2" t="s">
        <v>18</v>
      </c>
      <c r="N55" s="2">
        <v>1600</v>
      </c>
      <c r="O55" s="2">
        <v>1600</v>
      </c>
      <c r="P55" s="2">
        <v>0</v>
      </c>
      <c r="Q55" s="2">
        <v>0</v>
      </c>
      <c r="R55" s="2">
        <v>0</v>
      </c>
      <c r="S55" s="2">
        <v>0</v>
      </c>
      <c r="T55" s="2">
        <f t="shared" si="6"/>
        <v>0</v>
      </c>
      <c r="U55" s="2">
        <f t="shared" si="7"/>
        <v>0</v>
      </c>
      <c r="V55" s="2">
        <v>45.407820945918843</v>
      </c>
      <c r="W55" s="2">
        <v>11.17591424327253</v>
      </c>
      <c r="X55" s="2">
        <f t="shared" si="8"/>
        <v>2.25</v>
      </c>
      <c r="Y55" s="2">
        <f t="shared" si="9"/>
        <v>3600</v>
      </c>
      <c r="Z55" s="2" t="str">
        <f t="shared" si="10"/>
        <v/>
      </c>
      <c r="AA55" s="2">
        <f t="shared" si="5"/>
        <v>0</v>
      </c>
    </row>
    <row r="56" spans="1:27" ht="15.75" customHeight="1" x14ac:dyDescent="0.2">
      <c r="A56" s="2" t="s">
        <v>228</v>
      </c>
      <c r="B56" s="2" t="s">
        <v>43</v>
      </c>
      <c r="C56" s="2">
        <v>45155</v>
      </c>
      <c r="D56" s="2" t="s">
        <v>44</v>
      </c>
      <c r="E56" s="2" t="s">
        <v>45</v>
      </c>
      <c r="F56" s="2" t="s">
        <v>13</v>
      </c>
      <c r="G56" s="2">
        <v>2.8</v>
      </c>
      <c r="H56" s="2">
        <v>1.2</v>
      </c>
      <c r="I56" s="2" t="s">
        <v>29</v>
      </c>
      <c r="K56" s="2">
        <v>1</v>
      </c>
      <c r="N56" s="2">
        <v>862</v>
      </c>
      <c r="O56" s="2">
        <v>866</v>
      </c>
      <c r="P56" s="2">
        <v>0</v>
      </c>
      <c r="Q56" s="2">
        <v>1</v>
      </c>
      <c r="R56" s="2">
        <v>0</v>
      </c>
      <c r="S56" s="2">
        <v>2</v>
      </c>
      <c r="T56" s="2">
        <f t="shared" si="6"/>
        <v>2.8868360277136259E-3</v>
      </c>
      <c r="U56" s="2">
        <f t="shared" si="7"/>
        <v>3.4642032332563512E-3</v>
      </c>
      <c r="V56" s="2">
        <v>45.248140285938099</v>
      </c>
      <c r="W56" s="2">
        <v>11.85182899107213</v>
      </c>
      <c r="X56" s="2">
        <f t="shared" si="8"/>
        <v>3.36</v>
      </c>
      <c r="Y56" s="2">
        <f t="shared" si="9"/>
        <v>2909.7599999999998</v>
      </c>
      <c r="Z56" s="2">
        <f t="shared" si="10"/>
        <v>3.4642032332563512E-3</v>
      </c>
      <c r="AA56" s="2">
        <f t="shared" si="5"/>
        <v>1</v>
      </c>
    </row>
    <row r="57" spans="1:27" ht="15.75" customHeight="1" x14ac:dyDescent="0.2">
      <c r="A57" s="2" t="s">
        <v>229</v>
      </c>
      <c r="B57" s="2" t="s">
        <v>58</v>
      </c>
      <c r="C57" s="2">
        <v>45177</v>
      </c>
      <c r="D57" s="2" t="s">
        <v>20</v>
      </c>
      <c r="E57" s="2" t="s">
        <v>90</v>
      </c>
      <c r="F57" s="2" t="s">
        <v>9</v>
      </c>
      <c r="G57" s="2">
        <v>4.5</v>
      </c>
      <c r="H57" s="2">
        <v>0.9</v>
      </c>
      <c r="I57" s="2" t="s">
        <v>10</v>
      </c>
      <c r="J57" s="2">
        <v>133</v>
      </c>
      <c r="K57" s="2">
        <v>15</v>
      </c>
      <c r="M57" s="2">
        <v>31</v>
      </c>
      <c r="N57" s="2">
        <v>587</v>
      </c>
      <c r="O57" s="2">
        <v>850</v>
      </c>
      <c r="P57" s="2">
        <v>0</v>
      </c>
      <c r="Q57" s="2">
        <v>15</v>
      </c>
      <c r="R57" s="2">
        <v>32</v>
      </c>
      <c r="S57" s="2">
        <v>37</v>
      </c>
      <c r="T57" s="2">
        <f t="shared" si="6"/>
        <v>8.0588235294117641E-2</v>
      </c>
      <c r="U57" s="2">
        <f t="shared" si="7"/>
        <v>0.13529411764705881</v>
      </c>
      <c r="V57" s="2">
        <v>45.428921822000113</v>
      </c>
      <c r="W57" s="2">
        <v>11.208540723790231</v>
      </c>
      <c r="X57" s="2">
        <f t="shared" si="8"/>
        <v>4.05</v>
      </c>
      <c r="Y57" s="2">
        <f t="shared" si="9"/>
        <v>3442.5</v>
      </c>
      <c r="Z57" s="2">
        <f t="shared" si="10"/>
        <v>0.13529411764705881</v>
      </c>
      <c r="AA57" s="2">
        <f t="shared" si="5"/>
        <v>1</v>
      </c>
    </row>
    <row r="58" spans="1:27" ht="15.75" customHeight="1" x14ac:dyDescent="0.2">
      <c r="A58" s="2" t="s">
        <v>230</v>
      </c>
      <c r="B58" s="2" t="s">
        <v>43</v>
      </c>
      <c r="C58" s="2">
        <v>45154</v>
      </c>
      <c r="D58" s="2" t="s">
        <v>44</v>
      </c>
      <c r="E58" s="2" t="s">
        <v>45</v>
      </c>
      <c r="F58" s="2" t="s">
        <v>13</v>
      </c>
      <c r="G58" s="2">
        <v>2.8</v>
      </c>
      <c r="H58" s="2">
        <v>1.1000000000000001</v>
      </c>
      <c r="I58" s="2" t="s">
        <v>18</v>
      </c>
      <c r="J58" s="2">
        <v>2</v>
      </c>
      <c r="N58" s="2">
        <v>281</v>
      </c>
      <c r="O58" s="2">
        <v>288</v>
      </c>
      <c r="P58" s="2">
        <v>0</v>
      </c>
      <c r="Q58" s="2">
        <v>0</v>
      </c>
      <c r="R58" s="2">
        <v>0</v>
      </c>
      <c r="S58" s="2">
        <v>5</v>
      </c>
      <c r="T58" s="2">
        <f t="shared" si="6"/>
        <v>1.7361111111111112E-2</v>
      </c>
      <c r="U58" s="2">
        <f t="shared" si="7"/>
        <v>1.7361111111111112E-2</v>
      </c>
      <c r="V58" s="2">
        <v>45.22340229133335</v>
      </c>
      <c r="W58" s="2">
        <v>11.89631050134183</v>
      </c>
      <c r="X58" s="2">
        <f t="shared" si="8"/>
        <v>3.08</v>
      </c>
      <c r="Y58" s="2">
        <f t="shared" si="9"/>
        <v>887.04</v>
      </c>
      <c r="Z58" s="2">
        <f t="shared" si="10"/>
        <v>1.7361111111111112E-2</v>
      </c>
      <c r="AA58" s="2">
        <f t="shared" si="5"/>
        <v>1</v>
      </c>
    </row>
    <row r="59" spans="1:27" ht="15.75" customHeight="1" x14ac:dyDescent="0.2">
      <c r="A59" s="2" t="s">
        <v>231</v>
      </c>
      <c r="B59" s="2" t="s">
        <v>19</v>
      </c>
      <c r="C59" s="2">
        <v>45209</v>
      </c>
      <c r="D59" s="2" t="s">
        <v>20</v>
      </c>
      <c r="E59" s="2" t="s">
        <v>46</v>
      </c>
      <c r="F59" s="2" t="s">
        <v>25</v>
      </c>
      <c r="G59" s="2">
        <v>2.7</v>
      </c>
      <c r="H59" s="2">
        <v>0.9</v>
      </c>
      <c r="I59" s="2" t="s">
        <v>23</v>
      </c>
      <c r="J59" s="2">
        <v>16</v>
      </c>
      <c r="K59" s="2">
        <v>5</v>
      </c>
      <c r="N59" s="2">
        <v>1435</v>
      </c>
      <c r="O59" s="2">
        <v>1456</v>
      </c>
      <c r="P59" s="2">
        <v>0</v>
      </c>
      <c r="Q59" s="2">
        <v>0</v>
      </c>
      <c r="R59" s="2">
        <v>0</v>
      </c>
      <c r="S59" s="2">
        <v>0</v>
      </c>
      <c r="T59" s="2">
        <f t="shared" si="6"/>
        <v>0</v>
      </c>
      <c r="U59" s="2">
        <f t="shared" si="7"/>
        <v>0</v>
      </c>
      <c r="V59" s="2">
        <v>45.482944150282727</v>
      </c>
      <c r="W59" s="2">
        <v>11.159926937570731</v>
      </c>
      <c r="X59" s="2">
        <f t="shared" si="8"/>
        <v>2.4300000000000002</v>
      </c>
      <c r="Y59" s="2">
        <f t="shared" si="9"/>
        <v>3538.0800000000004</v>
      </c>
      <c r="Z59" s="2" t="str">
        <f t="shared" si="10"/>
        <v/>
      </c>
      <c r="AA59" s="2">
        <f t="shared" si="5"/>
        <v>0</v>
      </c>
    </row>
    <row r="60" spans="1:27" ht="15.75" customHeight="1" x14ac:dyDescent="0.2">
      <c r="A60" s="2" t="s">
        <v>232</v>
      </c>
      <c r="B60" s="2" t="s">
        <v>60</v>
      </c>
      <c r="C60" s="2">
        <v>45155</v>
      </c>
      <c r="D60" s="2" t="s">
        <v>20</v>
      </c>
      <c r="E60" s="2" t="s">
        <v>122</v>
      </c>
      <c r="F60" s="2" t="s">
        <v>129</v>
      </c>
      <c r="G60" s="2">
        <v>4</v>
      </c>
      <c r="H60" s="2">
        <v>1</v>
      </c>
      <c r="I60" s="2" t="s">
        <v>10</v>
      </c>
      <c r="J60" s="2">
        <v>3</v>
      </c>
      <c r="K60" s="2">
        <v>17</v>
      </c>
      <c r="N60" s="2">
        <v>234</v>
      </c>
      <c r="O60" s="2">
        <v>258</v>
      </c>
      <c r="P60" s="2">
        <v>2</v>
      </c>
      <c r="Q60" s="2">
        <v>2</v>
      </c>
      <c r="R60" s="2">
        <v>0</v>
      </c>
      <c r="S60" s="2">
        <v>0</v>
      </c>
      <c r="T60" s="2">
        <f t="shared" si="6"/>
        <v>5.8139534883720929E-3</v>
      </c>
      <c r="U60" s="2">
        <f t="shared" si="7"/>
        <v>1.5503875968992248E-2</v>
      </c>
      <c r="V60" s="2">
        <v>45.492000043941268</v>
      </c>
      <c r="W60" s="2">
        <v>10.75355906485542</v>
      </c>
      <c r="X60" s="2">
        <f t="shared" si="8"/>
        <v>4</v>
      </c>
      <c r="Y60" s="2">
        <f t="shared" si="9"/>
        <v>1032</v>
      </c>
      <c r="Z60" s="2">
        <f t="shared" si="10"/>
        <v>1.5503875968992248E-2</v>
      </c>
      <c r="AA60" s="2">
        <f t="shared" si="5"/>
        <v>1</v>
      </c>
    </row>
    <row r="61" spans="1:27" ht="15.75" customHeight="1" x14ac:dyDescent="0.2">
      <c r="A61" s="2" t="s">
        <v>233</v>
      </c>
      <c r="B61" s="2" t="s">
        <v>35</v>
      </c>
      <c r="C61" s="2">
        <v>45170</v>
      </c>
      <c r="D61" s="2" t="s">
        <v>20</v>
      </c>
      <c r="E61" s="2" t="s">
        <v>87</v>
      </c>
      <c r="F61" s="2" t="s">
        <v>9</v>
      </c>
      <c r="G61" s="2">
        <v>3.5</v>
      </c>
      <c r="H61" s="2">
        <v>0.8</v>
      </c>
      <c r="I61" s="2" t="s">
        <v>23</v>
      </c>
      <c r="J61" s="2">
        <v>63</v>
      </c>
      <c r="N61" s="2">
        <v>1337</v>
      </c>
      <c r="O61" s="2">
        <v>1400</v>
      </c>
      <c r="P61" s="2">
        <v>0</v>
      </c>
      <c r="Q61" s="2">
        <v>0</v>
      </c>
      <c r="R61" s="2">
        <v>0</v>
      </c>
      <c r="S61" s="2">
        <v>0</v>
      </c>
      <c r="T61" s="2">
        <f t="shared" si="6"/>
        <v>0</v>
      </c>
      <c r="U61" s="2">
        <f t="shared" si="7"/>
        <v>0</v>
      </c>
      <c r="V61" s="2">
        <v>45.453343624410103</v>
      </c>
      <c r="W61" s="2">
        <v>11.29556333660393</v>
      </c>
      <c r="X61" s="2">
        <f t="shared" si="8"/>
        <v>2.8000000000000003</v>
      </c>
      <c r="Y61" s="2">
        <f t="shared" si="9"/>
        <v>3920.0000000000005</v>
      </c>
      <c r="Z61" s="2" t="str">
        <f t="shared" si="10"/>
        <v/>
      </c>
      <c r="AA61" s="2">
        <f t="shared" si="5"/>
        <v>0</v>
      </c>
    </row>
    <row r="62" spans="1:27" ht="15.75" customHeight="1" x14ac:dyDescent="0.2">
      <c r="A62" s="2" t="s">
        <v>234</v>
      </c>
      <c r="B62" s="2" t="s">
        <v>6</v>
      </c>
      <c r="C62" s="2">
        <v>45132</v>
      </c>
      <c r="D62" s="2" t="s">
        <v>20</v>
      </c>
      <c r="E62" s="2" t="s">
        <v>56</v>
      </c>
      <c r="F62" s="2" t="s">
        <v>9</v>
      </c>
      <c r="G62" s="2">
        <v>4.2</v>
      </c>
      <c r="H62" s="2">
        <v>1</v>
      </c>
      <c r="I62" s="2" t="s">
        <v>10</v>
      </c>
      <c r="J62" s="2">
        <v>14</v>
      </c>
      <c r="K62" s="2">
        <v>0</v>
      </c>
      <c r="L62" s="2">
        <v>16</v>
      </c>
      <c r="M62" s="2">
        <v>46</v>
      </c>
      <c r="N62" s="2">
        <v>729</v>
      </c>
      <c r="O62" s="2">
        <v>818</v>
      </c>
      <c r="P62" s="2">
        <v>4</v>
      </c>
      <c r="Q62" s="2">
        <v>4</v>
      </c>
      <c r="R62" s="2">
        <v>2</v>
      </c>
      <c r="S62" s="2">
        <v>3</v>
      </c>
      <c r="T62" s="2">
        <f t="shared" si="6"/>
        <v>9.1687041564792182E-3</v>
      </c>
      <c r="U62" s="2">
        <f t="shared" si="7"/>
        <v>9.1687041564792182E-2</v>
      </c>
      <c r="V62" s="2">
        <v>45.449205092010239</v>
      </c>
      <c r="W62" s="2">
        <v>11.311849144637909</v>
      </c>
      <c r="X62" s="2">
        <f t="shared" si="8"/>
        <v>4.2</v>
      </c>
      <c r="Y62" s="2">
        <f t="shared" si="9"/>
        <v>3435.6000000000004</v>
      </c>
      <c r="Z62" s="2">
        <f t="shared" si="10"/>
        <v>9.1687041564792182E-2</v>
      </c>
      <c r="AA62" s="2">
        <f t="shared" si="5"/>
        <v>1</v>
      </c>
    </row>
    <row r="63" spans="1:27" ht="15.75" customHeight="1" x14ac:dyDescent="0.2">
      <c r="A63" s="2" t="s">
        <v>235</v>
      </c>
      <c r="B63" s="2" t="s">
        <v>19</v>
      </c>
      <c r="C63" s="2">
        <v>45216</v>
      </c>
      <c r="D63" s="2" t="s">
        <v>20</v>
      </c>
      <c r="E63" s="2" t="s">
        <v>128</v>
      </c>
      <c r="F63" s="2" t="s">
        <v>28</v>
      </c>
      <c r="G63" s="2">
        <v>2.2000000000000002</v>
      </c>
      <c r="H63" s="2">
        <v>0.9</v>
      </c>
      <c r="I63" s="2" t="s">
        <v>18</v>
      </c>
      <c r="J63" s="2">
        <v>8</v>
      </c>
      <c r="K63" s="2">
        <v>3</v>
      </c>
      <c r="M63" s="2">
        <v>11</v>
      </c>
      <c r="N63" s="2">
        <v>1739</v>
      </c>
      <c r="O63" s="2">
        <v>1779</v>
      </c>
      <c r="P63" s="2">
        <v>11</v>
      </c>
      <c r="Q63" s="2">
        <v>5</v>
      </c>
      <c r="R63" s="2">
        <v>2</v>
      </c>
      <c r="S63" s="2">
        <v>0</v>
      </c>
      <c r="T63" s="2">
        <f t="shared" si="6"/>
        <v>3.7942664418212477E-3</v>
      </c>
      <c r="U63" s="2">
        <f t="shared" si="7"/>
        <v>1.6301292861157952E-2</v>
      </c>
      <c r="V63" s="2">
        <v>45.601089737329062</v>
      </c>
      <c r="W63" s="2">
        <v>10.84473439131115</v>
      </c>
      <c r="X63" s="2">
        <f t="shared" si="8"/>
        <v>1.9800000000000002</v>
      </c>
      <c r="Y63" s="2">
        <f t="shared" si="9"/>
        <v>3522.4200000000005</v>
      </c>
      <c r="Z63" s="2">
        <f t="shared" si="10"/>
        <v>1.6301292861157952E-2</v>
      </c>
      <c r="AA63" s="2">
        <f t="shared" si="5"/>
        <v>1</v>
      </c>
    </row>
    <row r="64" spans="1:27" ht="15.75" customHeight="1" x14ac:dyDescent="0.2">
      <c r="A64" s="2" t="s">
        <v>236</v>
      </c>
      <c r="B64" s="2" t="s">
        <v>31</v>
      </c>
      <c r="C64" s="2">
        <v>45160</v>
      </c>
      <c r="D64" s="2" t="s">
        <v>15</v>
      </c>
      <c r="E64" s="2" t="s">
        <v>53</v>
      </c>
      <c r="F64" s="2" t="s">
        <v>13</v>
      </c>
      <c r="G64" s="2">
        <v>2.8</v>
      </c>
      <c r="H64" s="2">
        <v>1.5</v>
      </c>
      <c r="I64" s="2" t="s">
        <v>14</v>
      </c>
      <c r="J64" s="2">
        <v>9</v>
      </c>
      <c r="L64" s="2">
        <v>3</v>
      </c>
      <c r="M64" s="2">
        <v>2</v>
      </c>
      <c r="N64" s="2">
        <v>786</v>
      </c>
      <c r="O64" s="2">
        <v>800</v>
      </c>
      <c r="P64" s="2">
        <v>0</v>
      </c>
      <c r="Q64" s="2">
        <v>0</v>
      </c>
      <c r="R64" s="2">
        <v>0</v>
      </c>
      <c r="S64" s="2">
        <v>0</v>
      </c>
      <c r="T64" s="2">
        <f t="shared" si="6"/>
        <v>0</v>
      </c>
      <c r="U64" s="2">
        <f t="shared" si="7"/>
        <v>6.2500000000000003E-3</v>
      </c>
      <c r="V64" s="2">
        <v>45.807844785881791</v>
      </c>
      <c r="W64" s="2">
        <v>12.409345596404719</v>
      </c>
      <c r="X64" s="2">
        <f t="shared" si="8"/>
        <v>4.1999999999999993</v>
      </c>
      <c r="Y64" s="2">
        <f t="shared" si="9"/>
        <v>3359.9999999999995</v>
      </c>
      <c r="Z64" s="2">
        <f t="shared" si="10"/>
        <v>6.2500000000000003E-3</v>
      </c>
      <c r="AA64" s="2">
        <f t="shared" si="5"/>
        <v>1</v>
      </c>
    </row>
    <row r="65" spans="1:27" ht="15.75" customHeight="1" x14ac:dyDescent="0.2">
      <c r="A65" s="2" t="s">
        <v>237</v>
      </c>
      <c r="B65" s="2" t="s">
        <v>6</v>
      </c>
      <c r="C65" s="2">
        <v>45133</v>
      </c>
      <c r="D65" s="2" t="s">
        <v>20</v>
      </c>
      <c r="E65" s="2" t="s">
        <v>82</v>
      </c>
      <c r="F65" s="2" t="s">
        <v>9</v>
      </c>
      <c r="G65" s="2">
        <v>2.4</v>
      </c>
      <c r="H65" s="2">
        <v>0.8</v>
      </c>
      <c r="I65" s="2" t="s">
        <v>32</v>
      </c>
      <c r="J65" s="2">
        <v>20</v>
      </c>
      <c r="L65" s="2">
        <v>1</v>
      </c>
      <c r="M65" s="2">
        <v>1</v>
      </c>
      <c r="N65" s="2">
        <v>1817</v>
      </c>
      <c r="O65" s="2">
        <v>1843</v>
      </c>
      <c r="P65" s="2">
        <v>1</v>
      </c>
      <c r="Q65" s="2">
        <v>2</v>
      </c>
      <c r="R65" s="2">
        <v>1</v>
      </c>
      <c r="S65" s="2">
        <v>0</v>
      </c>
      <c r="T65" s="2">
        <f t="shared" si="6"/>
        <v>1.0851871947911015E-3</v>
      </c>
      <c r="U65" s="2">
        <f t="shared" si="7"/>
        <v>3.2555615843733042E-3</v>
      </c>
      <c r="V65" s="2">
        <v>45.467085402747443</v>
      </c>
      <c r="W65" s="2">
        <v>11.30474547300045</v>
      </c>
      <c r="X65" s="2">
        <f t="shared" si="8"/>
        <v>1.92</v>
      </c>
      <c r="Y65" s="2">
        <f t="shared" si="9"/>
        <v>3538.56</v>
      </c>
      <c r="Z65" s="2">
        <f t="shared" si="10"/>
        <v>3.2555615843733042E-3</v>
      </c>
      <c r="AA65" s="2">
        <f t="shared" si="5"/>
        <v>1</v>
      </c>
    </row>
    <row r="66" spans="1:27" ht="15.75" customHeight="1" x14ac:dyDescent="0.2">
      <c r="A66" s="2" t="s">
        <v>238</v>
      </c>
      <c r="B66" s="2" t="s">
        <v>6</v>
      </c>
      <c r="C66" s="2">
        <v>45134</v>
      </c>
      <c r="D66" s="2" t="s">
        <v>20</v>
      </c>
      <c r="E66" s="2" t="s">
        <v>82</v>
      </c>
      <c r="F66" s="2" t="s">
        <v>28</v>
      </c>
      <c r="G66" s="2">
        <v>2.4</v>
      </c>
      <c r="H66" s="2">
        <v>0.83</v>
      </c>
      <c r="I66" s="2" t="s">
        <v>37</v>
      </c>
      <c r="J66" s="2">
        <v>5</v>
      </c>
      <c r="K66" s="2">
        <v>85</v>
      </c>
      <c r="L66" s="2">
        <v>4</v>
      </c>
      <c r="M66" s="2">
        <v>1</v>
      </c>
      <c r="N66" s="2">
        <v>1607</v>
      </c>
      <c r="O66" s="2">
        <v>1750</v>
      </c>
      <c r="P66" s="2">
        <v>14</v>
      </c>
      <c r="Q66" s="2">
        <v>10</v>
      </c>
      <c r="R66" s="2">
        <v>15</v>
      </c>
      <c r="S66" s="2">
        <v>9</v>
      </c>
      <c r="T66" s="2">
        <f t="shared" ref="T66:T97" si="11">(P66*0.25+Q66*0.5+R66*0.75+S66*1)/O66</f>
        <v>1.6428571428571428E-2</v>
      </c>
      <c r="U66" s="2">
        <f t="shared" ref="U66:U101" si="12">(SUM(P66:S66,L66:M66)/SUM(O66))</f>
        <v>3.0285714285714287E-2</v>
      </c>
      <c r="V66" s="2">
        <v>45.47680206734745</v>
      </c>
      <c r="W66" s="2">
        <v>11.28799041766284</v>
      </c>
      <c r="X66" s="2">
        <f t="shared" ref="X66:X101" si="13">+G66*H66</f>
        <v>1.9919999999999998</v>
      </c>
      <c r="Y66" s="2">
        <f t="shared" ref="Y66:Y97" si="14">+O66*X66</f>
        <v>3485.9999999999995</v>
      </c>
      <c r="Z66" s="2">
        <f t="shared" ref="Z66:Z101" si="15">IF(U66&gt;0,U66,"")</f>
        <v>3.0285714285714287E-2</v>
      </c>
      <c r="AA66" s="2">
        <f t="shared" si="5"/>
        <v>1</v>
      </c>
    </row>
    <row r="67" spans="1:27" ht="15.75" customHeight="1" x14ac:dyDescent="0.2">
      <c r="A67" s="2" t="s">
        <v>239</v>
      </c>
      <c r="B67" s="2" t="s">
        <v>35</v>
      </c>
      <c r="C67" s="2">
        <v>45170</v>
      </c>
      <c r="D67" s="2" t="s">
        <v>20</v>
      </c>
      <c r="E67" s="2" t="s">
        <v>36</v>
      </c>
      <c r="F67" s="2" t="s">
        <v>52</v>
      </c>
      <c r="G67" s="2">
        <v>4</v>
      </c>
      <c r="H67" s="2">
        <v>1</v>
      </c>
      <c r="I67" s="2" t="s">
        <v>10</v>
      </c>
      <c r="N67" s="2">
        <v>799</v>
      </c>
      <c r="O67" s="2">
        <v>800</v>
      </c>
      <c r="P67" s="2">
        <v>0</v>
      </c>
      <c r="Q67" s="2">
        <v>1</v>
      </c>
      <c r="R67" s="2">
        <v>0</v>
      </c>
      <c r="S67" s="2">
        <v>0</v>
      </c>
      <c r="T67" s="2">
        <f t="shared" si="11"/>
        <v>6.2500000000000001E-4</v>
      </c>
      <c r="U67" s="2">
        <f t="shared" si="12"/>
        <v>1.25E-3</v>
      </c>
      <c r="V67" s="2">
        <v>45.375942115718573</v>
      </c>
      <c r="W67" s="2">
        <v>11.270891488522659</v>
      </c>
      <c r="X67" s="2">
        <f t="shared" si="13"/>
        <v>4</v>
      </c>
      <c r="Y67" s="2">
        <f t="shared" si="14"/>
        <v>3200</v>
      </c>
      <c r="Z67" s="2">
        <f t="shared" si="15"/>
        <v>1.25E-3</v>
      </c>
      <c r="AA67" s="2">
        <f t="shared" si="5"/>
        <v>1</v>
      </c>
    </row>
    <row r="68" spans="1:27" ht="15.75" customHeight="1" x14ac:dyDescent="0.2">
      <c r="A68" s="2" t="s">
        <v>240</v>
      </c>
      <c r="B68" s="2" t="s">
        <v>35</v>
      </c>
      <c r="C68" s="2">
        <v>45154</v>
      </c>
      <c r="D68" s="2" t="s">
        <v>20</v>
      </c>
      <c r="E68" s="2" t="s">
        <v>36</v>
      </c>
      <c r="F68" s="2" t="s">
        <v>52</v>
      </c>
      <c r="G68" s="2">
        <v>0.9</v>
      </c>
      <c r="H68" s="2">
        <v>4.5</v>
      </c>
      <c r="I68" s="2" t="s">
        <v>10</v>
      </c>
      <c r="N68" s="2">
        <v>680</v>
      </c>
      <c r="O68" s="2">
        <v>680</v>
      </c>
      <c r="P68" s="2">
        <v>0</v>
      </c>
      <c r="Q68" s="2">
        <v>0</v>
      </c>
      <c r="R68" s="2">
        <v>0</v>
      </c>
      <c r="S68" s="2">
        <v>0</v>
      </c>
      <c r="T68" s="2">
        <f t="shared" si="11"/>
        <v>0</v>
      </c>
      <c r="U68" s="2">
        <f t="shared" si="12"/>
        <v>0</v>
      </c>
      <c r="V68" s="2">
        <v>45.389359272073001</v>
      </c>
      <c r="W68" s="2">
        <v>11.25443899316971</v>
      </c>
      <c r="X68" s="2">
        <f t="shared" si="13"/>
        <v>4.05</v>
      </c>
      <c r="Y68" s="2">
        <f t="shared" si="14"/>
        <v>2754</v>
      </c>
      <c r="Z68" s="2" t="str">
        <f t="shared" si="15"/>
        <v/>
      </c>
      <c r="AA68" s="2">
        <f t="shared" si="5"/>
        <v>0</v>
      </c>
    </row>
    <row r="69" spans="1:27" ht="15.75" customHeight="1" x14ac:dyDescent="0.2">
      <c r="A69" s="2" t="s">
        <v>241</v>
      </c>
      <c r="B69" s="2" t="s">
        <v>58</v>
      </c>
      <c r="C69" s="2">
        <v>45141</v>
      </c>
      <c r="D69" s="2" t="s">
        <v>20</v>
      </c>
      <c r="E69" s="2" t="s">
        <v>59</v>
      </c>
      <c r="F69" s="2" t="s">
        <v>9</v>
      </c>
      <c r="G69" s="2">
        <v>3.75</v>
      </c>
      <c r="H69" s="2">
        <v>0.85</v>
      </c>
      <c r="I69" s="2" t="s">
        <v>10</v>
      </c>
      <c r="J69" s="2">
        <v>11</v>
      </c>
      <c r="K69" s="2">
        <v>1</v>
      </c>
      <c r="M69" s="2">
        <v>5</v>
      </c>
      <c r="N69" s="2">
        <v>882</v>
      </c>
      <c r="O69" s="2">
        <v>1000</v>
      </c>
      <c r="P69" s="2">
        <v>2</v>
      </c>
      <c r="Q69" s="2">
        <v>36</v>
      </c>
      <c r="R69" s="2">
        <v>51</v>
      </c>
      <c r="S69" s="2">
        <v>12</v>
      </c>
      <c r="T69" s="2">
        <f t="shared" si="11"/>
        <v>6.8750000000000006E-2</v>
      </c>
      <c r="U69" s="2">
        <f t="shared" si="12"/>
        <v>0.106</v>
      </c>
      <c r="V69" s="2">
        <v>45.436858401234403</v>
      </c>
      <c r="W69" s="2">
        <v>11.23125266588101</v>
      </c>
      <c r="X69" s="2">
        <f t="shared" si="13"/>
        <v>3.1875</v>
      </c>
      <c r="Y69" s="2">
        <f t="shared" si="14"/>
        <v>3187.5</v>
      </c>
      <c r="Z69" s="2">
        <f t="shared" si="15"/>
        <v>0.106</v>
      </c>
      <c r="AA69" s="2">
        <f t="shared" si="5"/>
        <v>1</v>
      </c>
    </row>
    <row r="70" spans="1:27" ht="15.75" customHeight="1" x14ac:dyDescent="0.2">
      <c r="A70" s="2" t="s">
        <v>242</v>
      </c>
      <c r="B70" s="2" t="s">
        <v>31</v>
      </c>
      <c r="C70" s="2">
        <v>45160</v>
      </c>
      <c r="D70" s="2" t="s">
        <v>15</v>
      </c>
      <c r="E70" s="2" t="s">
        <v>53</v>
      </c>
      <c r="F70" s="2" t="s">
        <v>101</v>
      </c>
      <c r="G70" s="2">
        <v>6.5</v>
      </c>
      <c r="H70" s="2">
        <v>0.9</v>
      </c>
      <c r="I70" s="2" t="s">
        <v>123</v>
      </c>
      <c r="J70" s="2">
        <v>3</v>
      </c>
      <c r="M70" s="2">
        <v>1</v>
      </c>
      <c r="N70" s="2">
        <v>311</v>
      </c>
      <c r="O70" s="2">
        <v>315</v>
      </c>
      <c r="P70" s="2">
        <v>0</v>
      </c>
      <c r="Q70" s="2">
        <v>0</v>
      </c>
      <c r="R70" s="2">
        <v>0</v>
      </c>
      <c r="S70" s="2">
        <v>0</v>
      </c>
      <c r="T70" s="2">
        <f t="shared" si="11"/>
        <v>0</v>
      </c>
      <c r="U70" s="2">
        <f t="shared" si="12"/>
        <v>3.1746031746031746E-3</v>
      </c>
      <c r="V70" s="2">
        <v>45.803864964263042</v>
      </c>
      <c r="W70" s="2">
        <v>12.40745320647088</v>
      </c>
      <c r="X70" s="2">
        <f t="shared" si="13"/>
        <v>5.8500000000000005</v>
      </c>
      <c r="Y70" s="2">
        <f t="shared" si="14"/>
        <v>1842.7500000000002</v>
      </c>
      <c r="Z70" s="2">
        <f t="shared" si="15"/>
        <v>3.1746031746031746E-3</v>
      </c>
      <c r="AA70" s="2">
        <f t="shared" si="5"/>
        <v>1</v>
      </c>
    </row>
    <row r="71" spans="1:27" ht="15.75" customHeight="1" x14ac:dyDescent="0.2">
      <c r="A71" s="2" t="s">
        <v>243</v>
      </c>
      <c r="B71" s="2" t="s">
        <v>60</v>
      </c>
      <c r="C71" s="2">
        <v>45155</v>
      </c>
      <c r="D71" s="2" t="s">
        <v>20</v>
      </c>
      <c r="E71" s="2" t="s">
        <v>122</v>
      </c>
      <c r="F71" s="2" t="s">
        <v>52</v>
      </c>
      <c r="G71" s="2">
        <v>4</v>
      </c>
      <c r="H71" s="2">
        <v>1</v>
      </c>
      <c r="I71" s="2" t="s">
        <v>10</v>
      </c>
      <c r="J71" s="2">
        <v>28</v>
      </c>
      <c r="M71" s="2">
        <v>9</v>
      </c>
      <c r="N71" s="2">
        <v>951</v>
      </c>
      <c r="O71" s="2">
        <v>1000</v>
      </c>
      <c r="P71" s="2">
        <v>7</v>
      </c>
      <c r="Q71" s="2">
        <v>4</v>
      </c>
      <c r="R71" s="2">
        <v>1</v>
      </c>
      <c r="S71" s="2">
        <v>0</v>
      </c>
      <c r="T71" s="2">
        <f t="shared" si="11"/>
        <v>4.4999999999999997E-3</v>
      </c>
      <c r="U71" s="2">
        <f t="shared" si="12"/>
        <v>2.1000000000000001E-2</v>
      </c>
      <c r="V71" s="2">
        <v>45.489208606585301</v>
      </c>
      <c r="W71" s="2">
        <v>10.747041843172401</v>
      </c>
      <c r="X71" s="2">
        <f t="shared" si="13"/>
        <v>4</v>
      </c>
      <c r="Y71" s="2">
        <f t="shared" si="14"/>
        <v>4000</v>
      </c>
      <c r="Z71" s="2">
        <f t="shared" si="15"/>
        <v>2.1000000000000001E-2</v>
      </c>
      <c r="AA71" s="2">
        <f t="shared" si="5"/>
        <v>1</v>
      </c>
    </row>
    <row r="72" spans="1:27" ht="15.75" customHeight="1" x14ac:dyDescent="0.2">
      <c r="A72" s="2" t="s">
        <v>244</v>
      </c>
      <c r="B72" s="2" t="s">
        <v>6</v>
      </c>
      <c r="C72" s="2">
        <v>45149</v>
      </c>
      <c r="D72" s="2" t="s">
        <v>20</v>
      </c>
      <c r="E72" s="2" t="s">
        <v>48</v>
      </c>
      <c r="F72" s="2" t="s">
        <v>75</v>
      </c>
      <c r="G72" s="2">
        <v>4.3</v>
      </c>
      <c r="H72" s="2">
        <v>1</v>
      </c>
      <c r="I72" s="2" t="s">
        <v>10</v>
      </c>
      <c r="J72" s="2">
        <v>1</v>
      </c>
      <c r="K72" s="2">
        <v>28</v>
      </c>
      <c r="M72" s="2">
        <v>1</v>
      </c>
      <c r="N72" s="2">
        <v>399</v>
      </c>
      <c r="O72" s="2">
        <v>429</v>
      </c>
      <c r="P72" s="2">
        <v>0</v>
      </c>
      <c r="Q72" s="2">
        <v>0</v>
      </c>
      <c r="R72" s="2">
        <v>0</v>
      </c>
      <c r="S72" s="2">
        <v>0</v>
      </c>
      <c r="T72" s="2">
        <f t="shared" si="11"/>
        <v>0</v>
      </c>
      <c r="U72" s="2">
        <f t="shared" si="12"/>
        <v>2.331002331002331E-3</v>
      </c>
      <c r="V72" s="2">
        <v>45.50212813419553</v>
      </c>
      <c r="W72" s="2">
        <v>10.90489553415698</v>
      </c>
      <c r="X72" s="2">
        <f t="shared" si="13"/>
        <v>4.3</v>
      </c>
      <c r="Y72" s="2">
        <f t="shared" si="14"/>
        <v>1844.6999999999998</v>
      </c>
      <c r="Z72" s="2">
        <f t="shared" si="15"/>
        <v>2.331002331002331E-3</v>
      </c>
      <c r="AA72" s="2">
        <f t="shared" si="5"/>
        <v>1</v>
      </c>
    </row>
    <row r="73" spans="1:27" ht="15.75" customHeight="1" x14ac:dyDescent="0.2">
      <c r="A73" s="2" t="s">
        <v>245</v>
      </c>
      <c r="B73" s="2" t="s">
        <v>6</v>
      </c>
      <c r="C73" s="2">
        <v>45149</v>
      </c>
      <c r="D73" s="2" t="s">
        <v>20</v>
      </c>
      <c r="E73" s="2" t="s">
        <v>48</v>
      </c>
      <c r="F73" s="2" t="s">
        <v>25</v>
      </c>
      <c r="G73" s="2">
        <v>4</v>
      </c>
      <c r="H73" s="2">
        <v>1</v>
      </c>
      <c r="I73" s="2" t="s">
        <v>10</v>
      </c>
      <c r="J73" s="2">
        <v>2</v>
      </c>
      <c r="N73" s="2">
        <v>515</v>
      </c>
      <c r="O73" s="2">
        <v>517</v>
      </c>
      <c r="P73" s="2">
        <v>0</v>
      </c>
      <c r="Q73" s="2">
        <v>0</v>
      </c>
      <c r="R73" s="2">
        <v>0</v>
      </c>
      <c r="S73" s="2">
        <v>0</v>
      </c>
      <c r="T73" s="2">
        <f t="shared" si="11"/>
        <v>0</v>
      </c>
      <c r="U73" s="2">
        <f t="shared" si="12"/>
        <v>0</v>
      </c>
      <c r="V73" s="2">
        <v>45.504668313542147</v>
      </c>
      <c r="W73" s="2">
        <v>10.904167598264349</v>
      </c>
      <c r="X73" s="2">
        <f t="shared" si="13"/>
        <v>4</v>
      </c>
      <c r="Y73" s="2">
        <f t="shared" si="14"/>
        <v>2068</v>
      </c>
      <c r="Z73" s="2" t="str">
        <f t="shared" si="15"/>
        <v/>
      </c>
      <c r="AA73" s="2">
        <f t="shared" si="5"/>
        <v>0</v>
      </c>
    </row>
    <row r="74" spans="1:27" ht="15.75" customHeight="1" x14ac:dyDescent="0.2">
      <c r="A74" s="2" t="s">
        <v>246</v>
      </c>
      <c r="B74" s="2" t="s">
        <v>35</v>
      </c>
      <c r="C74" s="2">
        <v>45145</v>
      </c>
      <c r="D74" s="2" t="s">
        <v>44</v>
      </c>
      <c r="E74" s="2" t="s">
        <v>85</v>
      </c>
      <c r="F74" s="2" t="s">
        <v>101</v>
      </c>
      <c r="G74" s="2">
        <v>3</v>
      </c>
      <c r="H74" s="2">
        <v>2</v>
      </c>
      <c r="I74" s="2" t="s">
        <v>14</v>
      </c>
      <c r="N74" s="2">
        <v>165</v>
      </c>
      <c r="O74" s="2">
        <v>200</v>
      </c>
      <c r="P74" s="2">
        <v>0</v>
      </c>
      <c r="Q74" s="2">
        <v>4</v>
      </c>
      <c r="R74" s="2">
        <v>12</v>
      </c>
      <c r="S74" s="2">
        <v>19</v>
      </c>
      <c r="T74" s="2">
        <f t="shared" si="11"/>
        <v>0.15</v>
      </c>
      <c r="U74" s="2">
        <f t="shared" si="12"/>
        <v>0.17499999999999999</v>
      </c>
      <c r="V74" s="2">
        <v>45.313563266656168</v>
      </c>
      <c r="W74" s="2">
        <v>11.64211082507742</v>
      </c>
      <c r="X74" s="2">
        <f t="shared" si="13"/>
        <v>6</v>
      </c>
      <c r="Y74" s="2">
        <f t="shared" si="14"/>
        <v>1200</v>
      </c>
      <c r="Z74" s="2">
        <f t="shared" si="15"/>
        <v>0.17499999999999999</v>
      </c>
      <c r="AA74" s="2">
        <f t="shared" si="5"/>
        <v>1</v>
      </c>
    </row>
    <row r="75" spans="1:27" ht="15.75" customHeight="1" x14ac:dyDescent="0.2">
      <c r="A75" s="2" t="s">
        <v>247</v>
      </c>
      <c r="B75" s="2" t="s">
        <v>60</v>
      </c>
      <c r="C75" s="2">
        <v>45155</v>
      </c>
      <c r="D75" s="2" t="s">
        <v>20</v>
      </c>
      <c r="E75" s="2" t="s">
        <v>122</v>
      </c>
      <c r="F75" s="2" t="s">
        <v>30</v>
      </c>
      <c r="G75" s="2">
        <v>2.4</v>
      </c>
      <c r="H75" s="2">
        <v>0.8</v>
      </c>
      <c r="I75" s="2" t="s">
        <v>37</v>
      </c>
      <c r="K75" s="2">
        <v>10</v>
      </c>
      <c r="M75" s="2">
        <v>1</v>
      </c>
      <c r="N75" s="2">
        <v>1062</v>
      </c>
      <c r="O75" s="2">
        <v>1088</v>
      </c>
      <c r="P75" s="2">
        <v>8</v>
      </c>
      <c r="Q75" s="2">
        <v>7</v>
      </c>
      <c r="R75" s="2">
        <v>0</v>
      </c>
      <c r="S75" s="2">
        <v>0</v>
      </c>
      <c r="T75" s="2">
        <f t="shared" si="11"/>
        <v>5.0551470588235297E-3</v>
      </c>
      <c r="U75" s="2">
        <f t="shared" si="12"/>
        <v>1.4705882352941176E-2</v>
      </c>
      <c r="V75" s="2">
        <v>45.488014394992021</v>
      </c>
      <c r="W75" s="2">
        <v>10.754513080155149</v>
      </c>
      <c r="X75" s="2">
        <f t="shared" si="13"/>
        <v>1.92</v>
      </c>
      <c r="Y75" s="2">
        <f t="shared" si="14"/>
        <v>2088.96</v>
      </c>
      <c r="Z75" s="2">
        <f t="shared" si="15"/>
        <v>1.4705882352941176E-2</v>
      </c>
      <c r="AA75" s="2">
        <f t="shared" si="5"/>
        <v>1</v>
      </c>
    </row>
    <row r="76" spans="1:27" ht="15.75" customHeight="1" x14ac:dyDescent="0.2">
      <c r="A76" s="2" t="s">
        <v>248</v>
      </c>
      <c r="B76" s="2" t="s">
        <v>60</v>
      </c>
      <c r="C76" s="2">
        <v>45146</v>
      </c>
      <c r="D76" s="2" t="s">
        <v>20</v>
      </c>
      <c r="E76" s="2" t="s">
        <v>117</v>
      </c>
      <c r="F76" s="2" t="s">
        <v>9</v>
      </c>
      <c r="G76" s="2">
        <v>3.2</v>
      </c>
      <c r="H76" s="2">
        <v>1</v>
      </c>
      <c r="I76" s="2" t="s">
        <v>10</v>
      </c>
      <c r="J76" s="2">
        <v>1</v>
      </c>
      <c r="K76" s="2">
        <v>3</v>
      </c>
      <c r="N76" s="2">
        <v>593</v>
      </c>
      <c r="O76" s="2">
        <v>610</v>
      </c>
      <c r="P76" s="2">
        <v>9</v>
      </c>
      <c r="Q76" s="2">
        <v>4</v>
      </c>
      <c r="R76" s="2">
        <v>0</v>
      </c>
      <c r="S76" s="2">
        <v>0</v>
      </c>
      <c r="T76" s="2">
        <f t="shared" si="11"/>
        <v>6.9672131147540985E-3</v>
      </c>
      <c r="U76" s="2">
        <f t="shared" si="12"/>
        <v>2.1311475409836064E-2</v>
      </c>
      <c r="V76" s="2">
        <v>45.459490460077411</v>
      </c>
      <c r="W76" s="2">
        <v>10.76428129378567</v>
      </c>
      <c r="X76" s="2">
        <f t="shared" si="13"/>
        <v>3.2</v>
      </c>
      <c r="Y76" s="2">
        <f t="shared" si="14"/>
        <v>1952</v>
      </c>
      <c r="Z76" s="2">
        <f t="shared" si="15"/>
        <v>2.1311475409836064E-2</v>
      </c>
      <c r="AA76" s="2">
        <f t="shared" si="5"/>
        <v>1</v>
      </c>
    </row>
    <row r="77" spans="1:27" ht="15.75" customHeight="1" x14ac:dyDescent="0.2">
      <c r="A77" s="2" t="s">
        <v>249</v>
      </c>
      <c r="B77" s="2" t="s">
        <v>60</v>
      </c>
      <c r="C77" s="2">
        <v>45155</v>
      </c>
      <c r="D77" s="2" t="s">
        <v>20</v>
      </c>
      <c r="E77" s="2" t="s">
        <v>122</v>
      </c>
      <c r="F77" s="2" t="s">
        <v>30</v>
      </c>
      <c r="G77" s="2">
        <v>2.4</v>
      </c>
      <c r="H77" s="2">
        <v>0.8</v>
      </c>
      <c r="I77" s="2" t="s">
        <v>37</v>
      </c>
      <c r="K77" s="2">
        <v>45</v>
      </c>
      <c r="M77" s="2">
        <v>7</v>
      </c>
      <c r="N77" s="2">
        <v>972</v>
      </c>
      <c r="O77" s="2">
        <v>1040</v>
      </c>
      <c r="P77" s="2">
        <v>7</v>
      </c>
      <c r="Q77" s="2">
        <v>8</v>
      </c>
      <c r="R77" s="2">
        <v>1</v>
      </c>
      <c r="S77" s="2">
        <v>0</v>
      </c>
      <c r="T77" s="2">
        <f t="shared" si="11"/>
        <v>6.2500000000000003E-3</v>
      </c>
      <c r="U77" s="2">
        <f t="shared" si="12"/>
        <v>2.2115384615384617E-2</v>
      </c>
      <c r="V77" s="2">
        <v>45.486808354665833</v>
      </c>
      <c r="W77" s="2">
        <v>10.754020754780001</v>
      </c>
      <c r="X77" s="2">
        <f t="shared" si="13"/>
        <v>1.92</v>
      </c>
      <c r="Y77" s="2">
        <f t="shared" si="14"/>
        <v>1996.8</v>
      </c>
      <c r="Z77" s="2">
        <f t="shared" si="15"/>
        <v>2.2115384615384617E-2</v>
      </c>
      <c r="AA77" s="2">
        <f t="shared" si="5"/>
        <v>1</v>
      </c>
    </row>
    <row r="78" spans="1:27" ht="15.75" customHeight="1" x14ac:dyDescent="0.2">
      <c r="A78" s="2" t="s">
        <v>250</v>
      </c>
      <c r="B78" s="2" t="s">
        <v>43</v>
      </c>
      <c r="C78" s="2">
        <v>45150</v>
      </c>
      <c r="D78" s="2" t="s">
        <v>44</v>
      </c>
      <c r="E78" s="2" t="s">
        <v>72</v>
      </c>
      <c r="F78" s="2" t="s">
        <v>13</v>
      </c>
      <c r="G78" s="2">
        <v>2.8</v>
      </c>
      <c r="H78" s="2">
        <v>1</v>
      </c>
      <c r="I78" s="2" t="s">
        <v>29</v>
      </c>
      <c r="J78" s="2">
        <v>14</v>
      </c>
      <c r="L78" s="2">
        <v>1</v>
      </c>
      <c r="M78" s="2">
        <v>2</v>
      </c>
      <c r="N78" s="2">
        <v>1019</v>
      </c>
      <c r="O78" s="2">
        <v>1050</v>
      </c>
      <c r="P78" s="2">
        <v>12</v>
      </c>
      <c r="Q78" s="2">
        <v>1</v>
      </c>
      <c r="R78" s="2">
        <v>1</v>
      </c>
      <c r="S78" s="2">
        <v>0</v>
      </c>
      <c r="T78" s="2">
        <f t="shared" si="11"/>
        <v>4.0476190476190473E-3</v>
      </c>
      <c r="U78" s="2">
        <f t="shared" si="12"/>
        <v>1.6190476190476189E-2</v>
      </c>
      <c r="V78" s="2">
        <v>45.293680072518193</v>
      </c>
      <c r="W78" s="2">
        <v>11.804847130108531</v>
      </c>
      <c r="X78" s="2">
        <f t="shared" si="13"/>
        <v>2.8</v>
      </c>
      <c r="Y78" s="2">
        <f t="shared" si="14"/>
        <v>2940</v>
      </c>
      <c r="Z78" s="2">
        <f t="shared" si="15"/>
        <v>1.6190476190476189E-2</v>
      </c>
      <c r="AA78" s="2">
        <f t="shared" si="5"/>
        <v>1</v>
      </c>
    </row>
    <row r="79" spans="1:27" ht="15.75" customHeight="1" x14ac:dyDescent="0.2">
      <c r="A79" s="2" t="s">
        <v>251</v>
      </c>
      <c r="B79" s="2" t="s">
        <v>6</v>
      </c>
      <c r="C79" s="2">
        <v>45142</v>
      </c>
      <c r="D79" s="2" t="s">
        <v>20</v>
      </c>
      <c r="E79" s="2" t="s">
        <v>48</v>
      </c>
      <c r="F79" s="2" t="s">
        <v>75</v>
      </c>
      <c r="G79" s="2">
        <v>3.1</v>
      </c>
      <c r="H79" s="2">
        <v>0.9</v>
      </c>
      <c r="I79" s="2" t="s">
        <v>10</v>
      </c>
      <c r="K79" s="2">
        <v>13</v>
      </c>
      <c r="L79" s="2">
        <v>4</v>
      </c>
      <c r="M79" s="2">
        <v>4</v>
      </c>
      <c r="N79" s="2">
        <v>668</v>
      </c>
      <c r="O79" s="2">
        <v>689</v>
      </c>
      <c r="P79" s="2">
        <v>0</v>
      </c>
      <c r="Q79" s="2">
        <v>0</v>
      </c>
      <c r="R79" s="2">
        <v>0</v>
      </c>
      <c r="S79" s="2">
        <v>0</v>
      </c>
      <c r="T79" s="2">
        <f t="shared" si="11"/>
        <v>0</v>
      </c>
      <c r="U79" s="2">
        <f t="shared" si="12"/>
        <v>1.1611030478955007E-2</v>
      </c>
      <c r="V79" s="2">
        <v>45.483383770201037</v>
      </c>
      <c r="W79" s="2">
        <v>10.93301979845616</v>
      </c>
      <c r="X79" s="2">
        <f t="shared" si="13"/>
        <v>2.79</v>
      </c>
      <c r="Y79" s="2">
        <f t="shared" si="14"/>
        <v>1922.31</v>
      </c>
      <c r="Z79" s="2">
        <f t="shared" si="15"/>
        <v>1.1611030478955007E-2</v>
      </c>
      <c r="AA79" s="2">
        <f t="shared" si="5"/>
        <v>1</v>
      </c>
    </row>
    <row r="80" spans="1:27" ht="15.75" customHeight="1" x14ac:dyDescent="0.2">
      <c r="A80" s="2" t="s">
        <v>252</v>
      </c>
      <c r="B80" s="2" t="s">
        <v>35</v>
      </c>
      <c r="C80" s="2">
        <v>45174</v>
      </c>
      <c r="D80" s="2" t="s">
        <v>20</v>
      </c>
      <c r="E80" s="2" t="s">
        <v>51</v>
      </c>
      <c r="F80" s="2" t="s">
        <v>9</v>
      </c>
      <c r="G80" s="2">
        <v>3.2</v>
      </c>
      <c r="H80" s="2">
        <v>1.2</v>
      </c>
      <c r="I80" s="2" t="s">
        <v>23</v>
      </c>
      <c r="J80" s="2">
        <v>5</v>
      </c>
      <c r="K80" s="2">
        <v>1</v>
      </c>
      <c r="N80" s="2">
        <v>840</v>
      </c>
      <c r="O80" s="2">
        <v>850</v>
      </c>
      <c r="P80" s="2">
        <v>0</v>
      </c>
      <c r="Q80" s="2">
        <v>4</v>
      </c>
      <c r="R80" s="2">
        <v>0</v>
      </c>
      <c r="S80" s="2">
        <v>0</v>
      </c>
      <c r="T80" s="2">
        <f t="shared" si="11"/>
        <v>2.352941176470588E-3</v>
      </c>
      <c r="U80" s="2">
        <f t="shared" si="12"/>
        <v>4.7058823529411761E-3</v>
      </c>
      <c r="V80" s="2">
        <v>45.448280391646463</v>
      </c>
      <c r="W80" s="2">
        <v>10.806791370158921</v>
      </c>
      <c r="X80" s="2">
        <f t="shared" si="13"/>
        <v>3.84</v>
      </c>
      <c r="Y80" s="2">
        <f t="shared" si="14"/>
        <v>3264</v>
      </c>
      <c r="Z80" s="2">
        <f t="shared" si="15"/>
        <v>4.7058823529411761E-3</v>
      </c>
      <c r="AA80" s="2">
        <f t="shared" si="5"/>
        <v>1</v>
      </c>
    </row>
    <row r="81" spans="1:27" ht="15.75" customHeight="1" x14ac:dyDescent="0.2">
      <c r="A81" s="2" t="s">
        <v>253</v>
      </c>
      <c r="B81" s="2" t="s">
        <v>35</v>
      </c>
      <c r="C81" s="2">
        <v>45174</v>
      </c>
      <c r="D81" s="2" t="s">
        <v>20</v>
      </c>
      <c r="E81" s="2" t="s">
        <v>51</v>
      </c>
      <c r="F81" s="2" t="s">
        <v>133</v>
      </c>
      <c r="G81" s="2">
        <v>4</v>
      </c>
      <c r="H81" s="2">
        <v>1</v>
      </c>
      <c r="I81" s="2" t="s">
        <v>121</v>
      </c>
      <c r="N81" s="2">
        <v>340</v>
      </c>
      <c r="O81" s="2">
        <v>340</v>
      </c>
      <c r="P81" s="2">
        <v>0</v>
      </c>
      <c r="Q81" s="2">
        <v>0</v>
      </c>
      <c r="R81" s="2">
        <v>0</v>
      </c>
      <c r="S81" s="2">
        <v>0</v>
      </c>
      <c r="T81" s="2">
        <f t="shared" si="11"/>
        <v>0</v>
      </c>
      <c r="U81" s="2">
        <f t="shared" si="12"/>
        <v>0</v>
      </c>
      <c r="V81" s="2">
        <v>45.415384017205142</v>
      </c>
      <c r="W81" s="2">
        <v>10.77370795427472</v>
      </c>
      <c r="X81" s="2">
        <f t="shared" si="13"/>
        <v>4</v>
      </c>
      <c r="Y81" s="2">
        <f t="shared" si="14"/>
        <v>1360</v>
      </c>
      <c r="Z81" s="2" t="str">
        <f t="shared" si="15"/>
        <v/>
      </c>
      <c r="AA81" s="2">
        <f t="shared" si="5"/>
        <v>0</v>
      </c>
    </row>
    <row r="82" spans="1:27" ht="15.75" customHeight="1" x14ac:dyDescent="0.2">
      <c r="A82" s="2" t="s">
        <v>254</v>
      </c>
      <c r="B82" s="2" t="s">
        <v>35</v>
      </c>
      <c r="C82" s="2">
        <v>45174</v>
      </c>
      <c r="D82" s="2" t="s">
        <v>20</v>
      </c>
      <c r="E82" s="2" t="s">
        <v>51</v>
      </c>
      <c r="F82" s="2" t="s">
        <v>126</v>
      </c>
      <c r="G82" s="2">
        <v>3.5</v>
      </c>
      <c r="H82" s="2">
        <v>1</v>
      </c>
      <c r="I82" s="2" t="s">
        <v>10</v>
      </c>
      <c r="N82" s="2">
        <v>840</v>
      </c>
      <c r="O82" s="2">
        <v>840</v>
      </c>
      <c r="P82" s="2">
        <v>0</v>
      </c>
      <c r="Q82" s="2">
        <v>0</v>
      </c>
      <c r="R82" s="2">
        <v>0</v>
      </c>
      <c r="S82" s="2">
        <v>0</v>
      </c>
      <c r="T82" s="2">
        <f t="shared" si="11"/>
        <v>0</v>
      </c>
      <c r="U82" s="2">
        <f t="shared" si="12"/>
        <v>0</v>
      </c>
      <c r="V82" s="2">
        <v>45.410948384479028</v>
      </c>
      <c r="W82" s="2">
        <v>10.77050752804006</v>
      </c>
      <c r="X82" s="2">
        <f t="shared" si="13"/>
        <v>3.5</v>
      </c>
      <c r="Y82" s="2">
        <f t="shared" si="14"/>
        <v>2940</v>
      </c>
      <c r="Z82" s="2" t="str">
        <f t="shared" si="15"/>
        <v/>
      </c>
      <c r="AA82" s="2">
        <f t="shared" si="5"/>
        <v>0</v>
      </c>
    </row>
    <row r="83" spans="1:27" ht="15.75" customHeight="1" x14ac:dyDescent="0.2">
      <c r="A83" s="2" t="s">
        <v>255</v>
      </c>
      <c r="B83" s="2" t="s">
        <v>35</v>
      </c>
      <c r="C83" s="2">
        <v>45174</v>
      </c>
      <c r="D83" s="2" t="s">
        <v>20</v>
      </c>
      <c r="E83" s="2" t="s">
        <v>51</v>
      </c>
      <c r="F83" s="2" t="s">
        <v>52</v>
      </c>
      <c r="G83" s="2">
        <v>4</v>
      </c>
      <c r="H83" s="2">
        <v>1</v>
      </c>
      <c r="I83" s="2" t="s">
        <v>121</v>
      </c>
      <c r="J83" s="2">
        <v>21</v>
      </c>
      <c r="M83" s="2">
        <v>15</v>
      </c>
      <c r="N83" s="2">
        <v>804</v>
      </c>
      <c r="O83" s="2">
        <v>840</v>
      </c>
      <c r="P83" s="2">
        <v>0</v>
      </c>
      <c r="Q83" s="2">
        <v>0</v>
      </c>
      <c r="R83" s="2">
        <v>0</v>
      </c>
      <c r="S83" s="2">
        <v>0</v>
      </c>
      <c r="T83" s="2">
        <f t="shared" si="11"/>
        <v>0</v>
      </c>
      <c r="U83" s="2">
        <f t="shared" si="12"/>
        <v>1.7857142857142856E-2</v>
      </c>
      <c r="V83" s="2">
        <v>45.41353267035673</v>
      </c>
      <c r="W83" s="2">
        <v>10.773766128023111</v>
      </c>
      <c r="X83" s="2">
        <f t="shared" si="13"/>
        <v>4</v>
      </c>
      <c r="Y83" s="2">
        <f t="shared" si="14"/>
        <v>3360</v>
      </c>
      <c r="Z83" s="2">
        <f t="shared" si="15"/>
        <v>1.7857142857142856E-2</v>
      </c>
      <c r="AA83" s="2">
        <f t="shared" si="5"/>
        <v>1</v>
      </c>
    </row>
    <row r="84" spans="1:27" ht="15.75" customHeight="1" x14ac:dyDescent="0.2">
      <c r="A84" s="2" t="s">
        <v>256</v>
      </c>
      <c r="B84" s="2" t="s">
        <v>35</v>
      </c>
      <c r="C84" s="2">
        <v>45174</v>
      </c>
      <c r="D84" s="2" t="s">
        <v>20</v>
      </c>
      <c r="E84" s="2" t="s">
        <v>51</v>
      </c>
      <c r="F84" s="2" t="s">
        <v>25</v>
      </c>
      <c r="G84" s="2">
        <v>2.7</v>
      </c>
      <c r="H84" s="2">
        <v>0.9</v>
      </c>
      <c r="I84" s="2" t="s">
        <v>18</v>
      </c>
      <c r="N84" s="2">
        <v>1360</v>
      </c>
      <c r="O84" s="2">
        <v>1360</v>
      </c>
      <c r="P84" s="2">
        <v>0</v>
      </c>
      <c r="Q84" s="2">
        <v>0</v>
      </c>
      <c r="R84" s="2">
        <v>0</v>
      </c>
      <c r="S84" s="2">
        <v>0</v>
      </c>
      <c r="T84" s="2">
        <f t="shared" si="11"/>
        <v>0</v>
      </c>
      <c r="U84" s="2">
        <f t="shared" si="12"/>
        <v>0</v>
      </c>
      <c r="V84" s="2">
        <v>45.415157302944728</v>
      </c>
      <c r="W84" s="2">
        <v>10.77186071239626</v>
      </c>
      <c r="X84" s="2">
        <f t="shared" si="13"/>
        <v>2.4300000000000002</v>
      </c>
      <c r="Y84" s="2">
        <f t="shared" si="14"/>
        <v>3304.8</v>
      </c>
      <c r="Z84" s="2" t="str">
        <f t="shared" si="15"/>
        <v/>
      </c>
      <c r="AA84" s="2">
        <f t="shared" si="5"/>
        <v>0</v>
      </c>
    </row>
    <row r="85" spans="1:27" ht="15.75" customHeight="1" x14ac:dyDescent="0.2">
      <c r="A85" s="2" t="s">
        <v>257</v>
      </c>
      <c r="B85" s="2" t="s">
        <v>58</v>
      </c>
      <c r="C85" s="2">
        <v>45139</v>
      </c>
      <c r="D85" s="2" t="s">
        <v>20</v>
      </c>
      <c r="E85" s="2" t="s">
        <v>59</v>
      </c>
      <c r="F85" s="2" t="s">
        <v>30</v>
      </c>
      <c r="G85" s="2">
        <v>3</v>
      </c>
      <c r="H85" s="2">
        <v>0.65</v>
      </c>
      <c r="I85" s="2" t="s">
        <v>10</v>
      </c>
      <c r="J85" s="2">
        <v>1</v>
      </c>
      <c r="K85" s="2">
        <v>22</v>
      </c>
      <c r="M85" s="2">
        <v>13</v>
      </c>
      <c r="N85" s="2">
        <v>1140</v>
      </c>
      <c r="O85" s="2">
        <v>1250</v>
      </c>
      <c r="P85" s="2">
        <v>0</v>
      </c>
      <c r="Q85" s="2">
        <v>6</v>
      </c>
      <c r="R85" s="2">
        <v>27</v>
      </c>
      <c r="S85" s="2">
        <v>41</v>
      </c>
      <c r="T85" s="2">
        <f t="shared" si="11"/>
        <v>5.1400000000000001E-2</v>
      </c>
      <c r="U85" s="2">
        <f t="shared" si="12"/>
        <v>6.9599999999999995E-2</v>
      </c>
      <c r="V85" s="2">
        <v>45.443317648599368</v>
      </c>
      <c r="W85" s="2">
        <v>11.24546611935707</v>
      </c>
      <c r="X85" s="2">
        <f t="shared" si="13"/>
        <v>1.9500000000000002</v>
      </c>
      <c r="Y85" s="2">
        <f t="shared" si="14"/>
        <v>2437.5</v>
      </c>
      <c r="Z85" s="2">
        <f t="shared" si="15"/>
        <v>6.9599999999999995E-2</v>
      </c>
      <c r="AA85" s="2">
        <f t="shared" si="5"/>
        <v>1</v>
      </c>
    </row>
    <row r="86" spans="1:27" ht="15.75" customHeight="1" x14ac:dyDescent="0.2">
      <c r="A86" s="2" t="s">
        <v>258</v>
      </c>
      <c r="B86" s="2" t="s">
        <v>35</v>
      </c>
      <c r="C86" s="2">
        <v>45170</v>
      </c>
      <c r="D86" s="2" t="s">
        <v>20</v>
      </c>
      <c r="E86" s="2" t="s">
        <v>87</v>
      </c>
      <c r="F86" s="2" t="s">
        <v>9</v>
      </c>
      <c r="G86" s="2">
        <v>3.2</v>
      </c>
      <c r="H86" s="2">
        <v>1</v>
      </c>
      <c r="I86" s="2" t="s">
        <v>10</v>
      </c>
      <c r="J86" s="2">
        <v>15</v>
      </c>
      <c r="K86" s="2">
        <v>4</v>
      </c>
      <c r="N86" s="2">
        <v>705</v>
      </c>
      <c r="O86" s="2">
        <v>740</v>
      </c>
      <c r="P86" s="2">
        <v>4</v>
      </c>
      <c r="Q86" s="2">
        <v>5</v>
      </c>
      <c r="R86" s="2">
        <v>7</v>
      </c>
      <c r="S86" s="2">
        <v>0</v>
      </c>
      <c r="T86" s="2">
        <f t="shared" si="11"/>
        <v>1.1824324324324325E-2</v>
      </c>
      <c r="U86" s="2">
        <f t="shared" si="12"/>
        <v>2.1621621621621623E-2</v>
      </c>
      <c r="V86" s="2">
        <v>45.452915682967237</v>
      </c>
      <c r="W86" s="2">
        <v>11.29667806076748</v>
      </c>
      <c r="X86" s="2">
        <f t="shared" si="13"/>
        <v>3.2</v>
      </c>
      <c r="Y86" s="2">
        <f t="shared" si="14"/>
        <v>2368</v>
      </c>
      <c r="Z86" s="2">
        <f t="shared" si="15"/>
        <v>2.1621621621621623E-2</v>
      </c>
      <c r="AA86" s="2">
        <f t="shared" si="5"/>
        <v>1</v>
      </c>
    </row>
    <row r="87" spans="1:27" ht="15.75" customHeight="1" x14ac:dyDescent="0.2">
      <c r="A87" s="2" t="s">
        <v>259</v>
      </c>
      <c r="B87" s="2" t="s">
        <v>35</v>
      </c>
      <c r="C87" s="2">
        <v>45142</v>
      </c>
      <c r="D87" s="2" t="s">
        <v>44</v>
      </c>
      <c r="E87" s="2" t="s">
        <v>85</v>
      </c>
      <c r="F87" s="2" t="s">
        <v>100</v>
      </c>
      <c r="G87" s="2">
        <v>2.8</v>
      </c>
      <c r="H87" s="2">
        <v>0.9</v>
      </c>
      <c r="I87" s="2" t="s">
        <v>18</v>
      </c>
      <c r="N87" s="2">
        <v>464</v>
      </c>
      <c r="O87" s="2">
        <v>470</v>
      </c>
      <c r="P87" s="2">
        <v>4</v>
      </c>
      <c r="Q87" s="2">
        <v>1</v>
      </c>
      <c r="R87" s="2">
        <v>1</v>
      </c>
      <c r="S87" s="2">
        <v>0</v>
      </c>
      <c r="T87" s="2">
        <f t="shared" si="11"/>
        <v>4.7872340425531915E-3</v>
      </c>
      <c r="U87" s="2">
        <f t="shared" si="12"/>
        <v>1.276595744680851E-2</v>
      </c>
      <c r="V87" s="2">
        <v>45.30529585522978</v>
      </c>
      <c r="W87" s="2">
        <v>11.652755469810909</v>
      </c>
      <c r="X87" s="2">
        <f t="shared" si="13"/>
        <v>2.52</v>
      </c>
      <c r="Y87" s="2">
        <f t="shared" si="14"/>
        <v>1184.4000000000001</v>
      </c>
      <c r="Z87" s="2">
        <f t="shared" si="15"/>
        <v>1.276595744680851E-2</v>
      </c>
      <c r="AA87" s="2">
        <f t="shared" si="5"/>
        <v>1</v>
      </c>
    </row>
    <row r="88" spans="1:27" ht="15.75" customHeight="1" x14ac:dyDescent="0.2">
      <c r="A88" s="2" t="s">
        <v>260</v>
      </c>
      <c r="B88" s="2" t="s">
        <v>43</v>
      </c>
      <c r="C88" s="2">
        <v>45155</v>
      </c>
      <c r="D88" s="2" t="s">
        <v>44</v>
      </c>
      <c r="E88" s="2" t="s">
        <v>132</v>
      </c>
      <c r="F88" s="2" t="s">
        <v>28</v>
      </c>
      <c r="G88" s="2">
        <v>3</v>
      </c>
      <c r="H88" s="2">
        <v>1</v>
      </c>
      <c r="I88" s="2" t="s">
        <v>77</v>
      </c>
      <c r="L88" s="2">
        <v>9</v>
      </c>
      <c r="N88" s="2">
        <v>873</v>
      </c>
      <c r="O88" s="2">
        <v>914</v>
      </c>
      <c r="P88" s="2">
        <v>0</v>
      </c>
      <c r="Q88" s="2">
        <v>4</v>
      </c>
      <c r="R88" s="2">
        <v>0</v>
      </c>
      <c r="S88" s="2">
        <v>28</v>
      </c>
      <c r="T88" s="2">
        <f t="shared" si="11"/>
        <v>3.2822757111597371E-2</v>
      </c>
      <c r="U88" s="2">
        <f t="shared" si="12"/>
        <v>4.4857768052516414E-2</v>
      </c>
      <c r="V88" s="2">
        <v>45.20541419833652</v>
      </c>
      <c r="W88" s="2">
        <v>11.83267965036719</v>
      </c>
      <c r="X88" s="2">
        <f t="shared" si="13"/>
        <v>3</v>
      </c>
      <c r="Y88" s="2">
        <f t="shared" si="14"/>
        <v>2742</v>
      </c>
      <c r="Z88" s="2">
        <f t="shared" si="15"/>
        <v>4.4857768052516414E-2</v>
      </c>
      <c r="AA88" s="2">
        <f t="shared" si="5"/>
        <v>1</v>
      </c>
    </row>
    <row r="89" spans="1:27" ht="15.75" customHeight="1" x14ac:dyDescent="0.2">
      <c r="A89" s="2" t="s">
        <v>261</v>
      </c>
      <c r="B89" s="2" t="s">
        <v>6</v>
      </c>
      <c r="C89" s="2">
        <v>45150</v>
      </c>
      <c r="D89" s="2" t="s">
        <v>20</v>
      </c>
      <c r="E89" s="2" t="s">
        <v>69</v>
      </c>
      <c r="F89" s="2" t="s">
        <v>22</v>
      </c>
      <c r="G89" s="2">
        <v>2.2000000000000002</v>
      </c>
      <c r="H89" s="2">
        <v>0.6</v>
      </c>
      <c r="I89" s="2" t="s">
        <v>37</v>
      </c>
      <c r="L89" s="2">
        <v>5</v>
      </c>
      <c r="M89" s="2">
        <v>3</v>
      </c>
      <c r="N89" s="2">
        <v>1822</v>
      </c>
      <c r="O89" s="2">
        <v>1830</v>
      </c>
      <c r="P89" s="2">
        <v>0</v>
      </c>
      <c r="Q89" s="2">
        <v>0</v>
      </c>
      <c r="R89" s="2">
        <v>0</v>
      </c>
      <c r="S89" s="2">
        <v>0</v>
      </c>
      <c r="T89" s="2">
        <f t="shared" si="11"/>
        <v>0</v>
      </c>
      <c r="U89" s="2">
        <f t="shared" si="12"/>
        <v>4.3715846994535519E-3</v>
      </c>
      <c r="V89" s="2">
        <v>45.514482098113177</v>
      </c>
      <c r="W89" s="2">
        <v>11.12864138911741</v>
      </c>
      <c r="X89" s="2">
        <f t="shared" si="13"/>
        <v>1.32</v>
      </c>
      <c r="Y89" s="2">
        <f t="shared" si="14"/>
        <v>2415.6</v>
      </c>
      <c r="Z89" s="2">
        <f t="shared" si="15"/>
        <v>4.3715846994535519E-3</v>
      </c>
      <c r="AA89" s="2">
        <f t="shared" si="5"/>
        <v>1</v>
      </c>
    </row>
    <row r="90" spans="1:27" ht="15.75" customHeight="1" x14ac:dyDescent="0.2">
      <c r="A90" s="2" t="s">
        <v>262</v>
      </c>
      <c r="B90" s="2" t="s">
        <v>120</v>
      </c>
      <c r="C90" s="2">
        <v>45137</v>
      </c>
      <c r="D90" s="2" t="s">
        <v>20</v>
      </c>
      <c r="E90" s="2" t="s">
        <v>21</v>
      </c>
      <c r="F90" s="2" t="s">
        <v>25</v>
      </c>
      <c r="G90" s="2">
        <v>3.3</v>
      </c>
      <c r="H90" s="2">
        <v>0.8</v>
      </c>
      <c r="I90" s="2" t="s">
        <v>10</v>
      </c>
      <c r="J90" s="2">
        <v>1</v>
      </c>
      <c r="M90" s="2">
        <v>2</v>
      </c>
      <c r="N90" s="2">
        <v>1145</v>
      </c>
      <c r="O90" s="2">
        <v>1150</v>
      </c>
      <c r="P90" s="2">
        <v>2</v>
      </c>
      <c r="Q90" s="2">
        <v>0</v>
      </c>
      <c r="R90" s="2">
        <v>0</v>
      </c>
      <c r="S90" s="2">
        <v>0</v>
      </c>
      <c r="T90" s="2">
        <f t="shared" si="11"/>
        <v>4.3478260869565219E-4</v>
      </c>
      <c r="U90" s="2">
        <f t="shared" si="12"/>
        <v>3.4782608695652175E-3</v>
      </c>
      <c r="V90" s="2">
        <v>45.470311565651407</v>
      </c>
      <c r="W90" s="2">
        <v>11.145079490841839</v>
      </c>
      <c r="X90" s="2">
        <f t="shared" si="13"/>
        <v>2.64</v>
      </c>
      <c r="Y90" s="2">
        <f t="shared" si="14"/>
        <v>3036</v>
      </c>
      <c r="Z90" s="2">
        <f t="shared" si="15"/>
        <v>3.4782608695652175E-3</v>
      </c>
      <c r="AA90" s="2">
        <f t="shared" si="5"/>
        <v>1</v>
      </c>
    </row>
    <row r="91" spans="1:27" ht="15.75" customHeight="1" x14ac:dyDescent="0.2">
      <c r="A91" s="2" t="s">
        <v>263</v>
      </c>
      <c r="B91" s="2" t="s">
        <v>35</v>
      </c>
      <c r="C91" s="2">
        <v>45142</v>
      </c>
      <c r="D91" s="2" t="s">
        <v>44</v>
      </c>
      <c r="E91" s="2" t="s">
        <v>91</v>
      </c>
      <c r="F91" s="2" t="s">
        <v>101</v>
      </c>
      <c r="G91" s="2">
        <v>2.7</v>
      </c>
      <c r="H91" s="2">
        <v>0.9</v>
      </c>
      <c r="I91" s="2" t="s">
        <v>18</v>
      </c>
      <c r="N91" s="2">
        <v>600</v>
      </c>
      <c r="O91" s="2">
        <v>610</v>
      </c>
      <c r="P91" s="2">
        <v>4</v>
      </c>
      <c r="Q91" s="2">
        <v>1</v>
      </c>
      <c r="R91" s="2">
        <v>4</v>
      </c>
      <c r="S91" s="2">
        <v>1</v>
      </c>
      <c r="T91" s="2">
        <f t="shared" si="11"/>
        <v>9.0163934426229515E-3</v>
      </c>
      <c r="U91" s="2">
        <f t="shared" si="12"/>
        <v>1.6393442622950821E-2</v>
      </c>
      <c r="V91" s="2">
        <v>45.305241585687938</v>
      </c>
      <c r="W91" s="2">
        <v>11.65656204452254</v>
      </c>
      <c r="X91" s="2">
        <f t="shared" si="13"/>
        <v>2.4300000000000002</v>
      </c>
      <c r="Y91" s="2">
        <f t="shared" si="14"/>
        <v>1482.3000000000002</v>
      </c>
      <c r="Z91" s="2">
        <f t="shared" si="15"/>
        <v>1.6393442622950821E-2</v>
      </c>
      <c r="AA91" s="2">
        <f t="shared" si="5"/>
        <v>1</v>
      </c>
    </row>
    <row r="92" spans="1:27" ht="15.75" customHeight="1" x14ac:dyDescent="0.2">
      <c r="A92" s="2" t="s">
        <v>264</v>
      </c>
      <c r="B92" s="2" t="s">
        <v>35</v>
      </c>
      <c r="C92" s="2">
        <v>45174</v>
      </c>
      <c r="D92" s="2" t="s">
        <v>20</v>
      </c>
      <c r="E92" s="2" t="s">
        <v>51</v>
      </c>
      <c r="F92" s="2" t="s">
        <v>133</v>
      </c>
      <c r="G92" s="2">
        <v>4</v>
      </c>
      <c r="H92" s="2">
        <v>1</v>
      </c>
      <c r="I92" s="2" t="s">
        <v>121</v>
      </c>
      <c r="N92" s="2">
        <v>680</v>
      </c>
      <c r="O92" s="2">
        <v>680</v>
      </c>
      <c r="P92" s="2">
        <v>0</v>
      </c>
      <c r="Q92" s="2">
        <v>0</v>
      </c>
      <c r="R92" s="2">
        <v>0</v>
      </c>
      <c r="S92" s="2">
        <v>0</v>
      </c>
      <c r="T92" s="2">
        <f t="shared" si="11"/>
        <v>0</v>
      </c>
      <c r="U92" s="2">
        <f t="shared" si="12"/>
        <v>0</v>
      </c>
      <c r="V92" s="2">
        <v>45.415024247156943</v>
      </c>
      <c r="W92" s="2">
        <v>10.77371130103535</v>
      </c>
      <c r="X92" s="2">
        <f t="shared" si="13"/>
        <v>4</v>
      </c>
      <c r="Y92" s="2">
        <f t="shared" si="14"/>
        <v>2720</v>
      </c>
      <c r="Z92" s="2" t="str">
        <f t="shared" si="15"/>
        <v/>
      </c>
      <c r="AA92" s="2">
        <f t="shared" si="5"/>
        <v>0</v>
      </c>
    </row>
    <row r="93" spans="1:27" ht="15.75" customHeight="1" x14ac:dyDescent="0.2">
      <c r="A93" s="2" t="s">
        <v>265</v>
      </c>
      <c r="C93" s="2">
        <v>45133</v>
      </c>
      <c r="D93" s="2" t="s">
        <v>44</v>
      </c>
      <c r="E93" s="2" t="s">
        <v>45</v>
      </c>
      <c r="F93" s="2" t="s">
        <v>28</v>
      </c>
      <c r="G93" s="2">
        <v>2.9</v>
      </c>
      <c r="H93" s="2">
        <v>3</v>
      </c>
      <c r="N93" s="2">
        <v>368</v>
      </c>
      <c r="O93" s="2">
        <v>368</v>
      </c>
      <c r="P93" s="2">
        <v>0</v>
      </c>
      <c r="Q93" s="2">
        <v>0</v>
      </c>
      <c r="R93" s="2">
        <v>0</v>
      </c>
      <c r="S93" s="2">
        <v>0</v>
      </c>
      <c r="T93" s="2">
        <f t="shared" si="11"/>
        <v>0</v>
      </c>
      <c r="U93" s="2">
        <f t="shared" si="12"/>
        <v>0</v>
      </c>
      <c r="V93" s="2">
        <v>45.216014217153592</v>
      </c>
      <c r="W93" s="2">
        <v>11.88611869049536</v>
      </c>
      <c r="X93" s="2">
        <f t="shared" si="13"/>
        <v>8.6999999999999993</v>
      </c>
      <c r="Y93" s="2">
        <f t="shared" si="14"/>
        <v>3201.6</v>
      </c>
      <c r="Z93" s="2" t="str">
        <f t="shared" si="15"/>
        <v/>
      </c>
      <c r="AA93" s="2">
        <f t="shared" si="5"/>
        <v>0</v>
      </c>
    </row>
    <row r="94" spans="1:27" ht="15.75" customHeight="1" x14ac:dyDescent="0.2">
      <c r="A94" s="2" t="s">
        <v>266</v>
      </c>
      <c r="B94" s="2" t="s">
        <v>43</v>
      </c>
      <c r="C94" s="2">
        <v>45151</v>
      </c>
      <c r="D94" s="2" t="s">
        <v>44</v>
      </c>
      <c r="E94" s="2" t="s">
        <v>136</v>
      </c>
      <c r="F94" s="2" t="s">
        <v>13</v>
      </c>
      <c r="G94" s="2">
        <v>2.8</v>
      </c>
      <c r="H94" s="2">
        <v>1.3</v>
      </c>
      <c r="I94" s="2" t="s">
        <v>29</v>
      </c>
      <c r="N94" s="2">
        <v>311</v>
      </c>
      <c r="O94" s="2">
        <v>314</v>
      </c>
      <c r="P94" s="2">
        <v>2</v>
      </c>
      <c r="Q94" s="2">
        <v>1</v>
      </c>
      <c r="R94" s="2">
        <v>0</v>
      </c>
      <c r="S94" s="2">
        <v>0</v>
      </c>
      <c r="T94" s="2">
        <f t="shared" si="11"/>
        <v>3.1847133757961785E-3</v>
      </c>
      <c r="U94" s="2">
        <f t="shared" si="12"/>
        <v>9.5541401273885346E-3</v>
      </c>
      <c r="V94" s="2">
        <v>45.19081678980271</v>
      </c>
      <c r="W94" s="2">
        <v>11.981857429879691</v>
      </c>
      <c r="X94" s="2">
        <f t="shared" si="13"/>
        <v>3.6399999999999997</v>
      </c>
      <c r="Y94" s="2">
        <f t="shared" si="14"/>
        <v>1142.9599999999998</v>
      </c>
      <c r="Z94" s="2">
        <f t="shared" si="15"/>
        <v>9.5541401273885346E-3</v>
      </c>
      <c r="AA94" s="2">
        <f t="shared" si="5"/>
        <v>1</v>
      </c>
    </row>
    <row r="95" spans="1:27" ht="15.75" customHeight="1" x14ac:dyDescent="0.2">
      <c r="A95" s="2" t="s">
        <v>267</v>
      </c>
      <c r="B95" s="2" t="s">
        <v>35</v>
      </c>
      <c r="C95" s="2">
        <v>45170</v>
      </c>
      <c r="D95" s="2" t="s">
        <v>20</v>
      </c>
      <c r="E95" s="2" t="s">
        <v>87</v>
      </c>
      <c r="F95" s="2" t="s">
        <v>9</v>
      </c>
      <c r="G95" s="2">
        <v>4.4000000000000004</v>
      </c>
      <c r="H95" s="2">
        <v>0.8</v>
      </c>
      <c r="I95" s="2" t="s">
        <v>10</v>
      </c>
      <c r="K95" s="2">
        <v>70</v>
      </c>
      <c r="N95" s="2">
        <v>779</v>
      </c>
      <c r="O95" s="2">
        <v>850</v>
      </c>
      <c r="P95" s="2">
        <v>1</v>
      </c>
      <c r="Q95" s="2">
        <v>0</v>
      </c>
      <c r="R95" s="2">
        <v>0</v>
      </c>
      <c r="S95" s="2">
        <v>0</v>
      </c>
      <c r="T95" s="2">
        <f t="shared" si="11"/>
        <v>2.941176470588235E-4</v>
      </c>
      <c r="U95" s="2">
        <f t="shared" si="12"/>
        <v>1.176470588235294E-3</v>
      </c>
      <c r="V95" s="2">
        <v>45.449961969394757</v>
      </c>
      <c r="W95" s="2">
        <v>11.282120566628979</v>
      </c>
      <c r="X95" s="2">
        <f t="shared" si="13"/>
        <v>3.5200000000000005</v>
      </c>
      <c r="Y95" s="2">
        <f t="shared" si="14"/>
        <v>2992.0000000000005</v>
      </c>
      <c r="Z95" s="2">
        <f t="shared" si="15"/>
        <v>1.176470588235294E-3</v>
      </c>
      <c r="AA95" s="2">
        <f t="shared" si="5"/>
        <v>1</v>
      </c>
    </row>
    <row r="96" spans="1:27" ht="15.75" customHeight="1" x14ac:dyDescent="0.2">
      <c r="A96" s="2" t="s">
        <v>268</v>
      </c>
      <c r="B96" s="2" t="s">
        <v>35</v>
      </c>
      <c r="C96" s="2">
        <v>45170</v>
      </c>
      <c r="D96" s="2" t="s">
        <v>20</v>
      </c>
      <c r="E96" s="2" t="s">
        <v>87</v>
      </c>
      <c r="F96" s="2" t="s">
        <v>9</v>
      </c>
      <c r="G96" s="2">
        <v>4</v>
      </c>
      <c r="H96" s="2">
        <v>1</v>
      </c>
      <c r="I96" s="2" t="s">
        <v>10</v>
      </c>
      <c r="N96" s="2">
        <v>719</v>
      </c>
      <c r="O96" s="2">
        <v>720</v>
      </c>
      <c r="P96" s="2">
        <v>1</v>
      </c>
      <c r="Q96" s="2">
        <v>0</v>
      </c>
      <c r="R96" s="2">
        <v>0</v>
      </c>
      <c r="S96" s="2">
        <v>0</v>
      </c>
      <c r="T96" s="2">
        <f t="shared" si="11"/>
        <v>3.4722222222222224E-4</v>
      </c>
      <c r="U96" s="2">
        <f t="shared" si="12"/>
        <v>1.3888888888888889E-3</v>
      </c>
      <c r="V96" s="2">
        <v>45.449006654962368</v>
      </c>
      <c r="W96" s="2">
        <v>11.279524304993201</v>
      </c>
      <c r="X96" s="2">
        <f t="shared" si="13"/>
        <v>4</v>
      </c>
      <c r="Y96" s="2">
        <f t="shared" si="14"/>
        <v>2880</v>
      </c>
      <c r="Z96" s="2">
        <f t="shared" si="15"/>
        <v>1.3888888888888889E-3</v>
      </c>
      <c r="AA96" s="2">
        <f t="shared" si="5"/>
        <v>1</v>
      </c>
    </row>
    <row r="97" spans="1:27" ht="15.75" customHeight="1" x14ac:dyDescent="0.2">
      <c r="A97" s="2" t="s">
        <v>269</v>
      </c>
      <c r="B97" s="2" t="s">
        <v>6</v>
      </c>
      <c r="C97" s="2">
        <v>45135</v>
      </c>
      <c r="D97" s="2" t="s">
        <v>20</v>
      </c>
      <c r="E97" s="2" t="s">
        <v>82</v>
      </c>
      <c r="F97" s="2" t="s">
        <v>9</v>
      </c>
      <c r="G97" s="2">
        <v>4</v>
      </c>
      <c r="H97" s="2">
        <v>1</v>
      </c>
      <c r="I97" s="2" t="s">
        <v>10</v>
      </c>
      <c r="J97" s="2">
        <v>93</v>
      </c>
      <c r="K97" s="2">
        <v>2</v>
      </c>
      <c r="L97" s="2">
        <v>9</v>
      </c>
      <c r="M97" s="2">
        <v>17</v>
      </c>
      <c r="N97" s="2">
        <v>342</v>
      </c>
      <c r="O97" s="2">
        <v>480</v>
      </c>
      <c r="P97" s="2">
        <v>1</v>
      </c>
      <c r="Q97" s="2">
        <v>6</v>
      </c>
      <c r="R97" s="2">
        <v>5</v>
      </c>
      <c r="S97" s="2">
        <v>5</v>
      </c>
      <c r="T97" s="2">
        <f t="shared" si="11"/>
        <v>2.5000000000000001E-2</v>
      </c>
      <c r="U97" s="2">
        <f t="shared" si="12"/>
        <v>8.9583333333333334E-2</v>
      </c>
      <c r="V97" s="2">
        <v>45.473413965502388</v>
      </c>
      <c r="W97" s="2">
        <v>11.28662272072585</v>
      </c>
      <c r="X97" s="2">
        <f t="shared" si="13"/>
        <v>4</v>
      </c>
      <c r="Y97" s="2">
        <f t="shared" si="14"/>
        <v>1920</v>
      </c>
      <c r="Z97" s="2">
        <f t="shared" si="15"/>
        <v>8.9583333333333334E-2</v>
      </c>
      <c r="AA97" s="2">
        <f t="shared" si="5"/>
        <v>1</v>
      </c>
    </row>
    <row r="98" spans="1:27" ht="15.75" customHeight="1" x14ac:dyDescent="0.2">
      <c r="A98" s="2" t="s">
        <v>270</v>
      </c>
      <c r="B98" s="2" t="s">
        <v>35</v>
      </c>
      <c r="C98" s="2">
        <v>45138</v>
      </c>
      <c r="D98" s="2" t="s">
        <v>44</v>
      </c>
      <c r="E98" s="2" t="s">
        <v>206</v>
      </c>
      <c r="F98" s="2" t="s">
        <v>27</v>
      </c>
      <c r="G98" s="2">
        <v>1</v>
      </c>
      <c r="H98" s="2">
        <v>0.65</v>
      </c>
      <c r="I98" s="2" t="s">
        <v>14</v>
      </c>
      <c r="J98" s="2">
        <v>10</v>
      </c>
      <c r="N98" s="2">
        <v>1835</v>
      </c>
      <c r="O98" s="2">
        <v>1846</v>
      </c>
      <c r="P98" s="2">
        <v>0</v>
      </c>
      <c r="Q98" s="2">
        <v>0</v>
      </c>
      <c r="R98" s="2">
        <v>1</v>
      </c>
      <c r="S98" s="2">
        <v>0</v>
      </c>
      <c r="T98" s="2">
        <f t="shared" ref="T98:T129" si="16">(P98*0.25+Q98*0.5+R98*0.75+S98*1)/O98</f>
        <v>4.0628385698808235E-4</v>
      </c>
      <c r="U98" s="2">
        <f t="shared" si="12"/>
        <v>5.4171180931744309E-4</v>
      </c>
      <c r="V98" s="2">
        <v>45.328498245435512</v>
      </c>
      <c r="W98" s="2">
        <v>11.670645184573891</v>
      </c>
      <c r="X98" s="2">
        <f t="shared" si="13"/>
        <v>0.65</v>
      </c>
      <c r="Y98" s="2">
        <f t="shared" ref="Y98:Y129" si="17">+O98*X98</f>
        <v>1199.9000000000001</v>
      </c>
      <c r="Z98" s="2">
        <f t="shared" si="15"/>
        <v>5.4171180931744309E-4</v>
      </c>
      <c r="AA98" s="2">
        <f t="shared" si="5"/>
        <v>1</v>
      </c>
    </row>
    <row r="99" spans="1:27" ht="15.75" customHeight="1" x14ac:dyDescent="0.2">
      <c r="A99" s="2" t="s">
        <v>271</v>
      </c>
      <c r="B99" s="2" t="s">
        <v>11</v>
      </c>
      <c r="C99" s="2">
        <v>45131</v>
      </c>
      <c r="D99" s="2" t="s">
        <v>12</v>
      </c>
      <c r="E99" s="2" t="s">
        <v>84</v>
      </c>
      <c r="F99" s="2" t="s">
        <v>13</v>
      </c>
      <c r="G99" s="2">
        <v>2.78</v>
      </c>
      <c r="H99" s="2">
        <v>2.7</v>
      </c>
      <c r="I99" s="2" t="s">
        <v>14</v>
      </c>
      <c r="N99" s="2">
        <v>972</v>
      </c>
      <c r="O99" s="2">
        <v>972</v>
      </c>
      <c r="P99" s="2">
        <v>0</v>
      </c>
      <c r="Q99" s="2">
        <v>0</v>
      </c>
      <c r="R99" s="2">
        <v>0</v>
      </c>
      <c r="S99" s="2">
        <v>0</v>
      </c>
      <c r="T99" s="2">
        <f t="shared" si="16"/>
        <v>0</v>
      </c>
      <c r="U99" s="2">
        <f t="shared" si="12"/>
        <v>0</v>
      </c>
      <c r="V99" s="2">
        <v>45.665246775596238</v>
      </c>
      <c r="W99" s="2">
        <v>12.685483655355879</v>
      </c>
      <c r="X99" s="2">
        <f t="shared" si="13"/>
        <v>7.5060000000000002</v>
      </c>
      <c r="Y99" s="2">
        <f t="shared" si="17"/>
        <v>7295.8320000000003</v>
      </c>
      <c r="Z99" s="2" t="str">
        <f t="shared" si="15"/>
        <v/>
      </c>
      <c r="AA99" s="2">
        <f t="shared" si="5"/>
        <v>0</v>
      </c>
    </row>
    <row r="100" spans="1:27" ht="15.75" customHeight="1" x14ac:dyDescent="0.2">
      <c r="A100" s="2" t="s">
        <v>272</v>
      </c>
      <c r="B100" s="2" t="s">
        <v>11</v>
      </c>
      <c r="C100" s="2">
        <v>45131</v>
      </c>
      <c r="D100" s="2" t="s">
        <v>12</v>
      </c>
      <c r="E100" s="2" t="s">
        <v>84</v>
      </c>
      <c r="F100" s="2" t="s">
        <v>28</v>
      </c>
      <c r="G100" s="2">
        <v>2.85</v>
      </c>
      <c r="H100" s="2">
        <v>0.9</v>
      </c>
      <c r="I100" s="2" t="s">
        <v>14</v>
      </c>
      <c r="N100" s="2">
        <v>1240</v>
      </c>
      <c r="O100" s="2">
        <v>1240</v>
      </c>
      <c r="P100" s="2">
        <v>0</v>
      </c>
      <c r="Q100" s="2">
        <v>0</v>
      </c>
      <c r="R100" s="2">
        <v>0</v>
      </c>
      <c r="S100" s="2">
        <v>0</v>
      </c>
      <c r="T100" s="2">
        <f t="shared" si="16"/>
        <v>0</v>
      </c>
      <c r="U100" s="2">
        <f t="shared" si="12"/>
        <v>0</v>
      </c>
      <c r="V100" s="2">
        <v>45.6700356292449</v>
      </c>
      <c r="W100" s="2">
        <v>12.682504150157261</v>
      </c>
      <c r="X100" s="2">
        <f t="shared" si="13"/>
        <v>2.5649999999999999</v>
      </c>
      <c r="Y100" s="2">
        <f t="shared" si="17"/>
        <v>3180.6</v>
      </c>
      <c r="Z100" s="2" t="str">
        <f t="shared" si="15"/>
        <v/>
      </c>
      <c r="AA100" s="2">
        <f t="shared" si="5"/>
        <v>0</v>
      </c>
    </row>
    <row r="101" spans="1:27" ht="15.75" customHeight="1" x14ac:dyDescent="0.2">
      <c r="A101" s="2" t="s">
        <v>273</v>
      </c>
      <c r="B101" s="2" t="s">
        <v>11</v>
      </c>
      <c r="C101" s="2">
        <v>45131</v>
      </c>
      <c r="D101" s="2" t="s">
        <v>12</v>
      </c>
      <c r="E101" s="2" t="s">
        <v>84</v>
      </c>
      <c r="F101" s="2" t="s">
        <v>13</v>
      </c>
      <c r="G101" s="2">
        <v>2.85</v>
      </c>
      <c r="H101" s="2">
        <v>1.2</v>
      </c>
      <c r="I101" s="2" t="s">
        <v>14</v>
      </c>
      <c r="M101" s="2">
        <v>1</v>
      </c>
      <c r="N101" s="2">
        <v>79</v>
      </c>
      <c r="O101" s="2">
        <v>80</v>
      </c>
      <c r="P101" s="2">
        <v>0</v>
      </c>
      <c r="Q101" s="2">
        <v>0</v>
      </c>
      <c r="R101" s="2">
        <v>0</v>
      </c>
      <c r="S101" s="2">
        <v>0</v>
      </c>
      <c r="T101" s="2">
        <f t="shared" si="16"/>
        <v>0</v>
      </c>
      <c r="U101" s="2">
        <f t="shared" si="12"/>
        <v>1.2500000000000001E-2</v>
      </c>
      <c r="V101" s="2">
        <v>45.667843121500937</v>
      </c>
      <c r="W101" s="2">
        <v>12.68430726025748</v>
      </c>
      <c r="X101" s="2">
        <f t="shared" si="13"/>
        <v>3.42</v>
      </c>
      <c r="Y101" s="2">
        <f t="shared" si="17"/>
        <v>273.60000000000002</v>
      </c>
      <c r="Z101" s="2">
        <f t="shared" si="15"/>
        <v>1.2500000000000001E-2</v>
      </c>
      <c r="AA101" s="2">
        <f t="shared" si="5"/>
        <v>1</v>
      </c>
    </row>
    <row r="102" spans="1:27" x14ac:dyDescent="0.2">
      <c r="A102" s="1">
        <v>1068217</v>
      </c>
      <c r="B102" t="s">
        <v>43</v>
      </c>
      <c r="C102" s="1">
        <v>45153</v>
      </c>
      <c r="D102" t="s">
        <v>44</v>
      </c>
      <c r="E102" t="s">
        <v>76</v>
      </c>
      <c r="F102" t="s">
        <v>28</v>
      </c>
      <c r="G102" s="1">
        <v>2.75</v>
      </c>
      <c r="H102" s="1">
        <v>0.92</v>
      </c>
      <c r="I102" t="s">
        <v>77</v>
      </c>
      <c r="J102" s="1">
        <v>7</v>
      </c>
      <c r="K102" s="1">
        <v>8</v>
      </c>
      <c r="L102" s="1">
        <v>0</v>
      </c>
      <c r="M102" s="1">
        <v>0</v>
      </c>
      <c r="N102" s="1">
        <v>237</v>
      </c>
      <c r="O102" s="1">
        <v>258</v>
      </c>
      <c r="P102" s="1">
        <v>3</v>
      </c>
      <c r="Q102" s="1">
        <v>0</v>
      </c>
      <c r="R102" s="1">
        <v>3</v>
      </c>
      <c r="S102" s="1">
        <v>0</v>
      </c>
    </row>
    <row r="103" spans="1:27" x14ac:dyDescent="0.2">
      <c r="A103" s="1">
        <v>1068759</v>
      </c>
      <c r="B103" t="s">
        <v>6</v>
      </c>
      <c r="C103" s="1">
        <v>45142</v>
      </c>
      <c r="D103" t="s">
        <v>20</v>
      </c>
      <c r="E103" t="s">
        <v>48</v>
      </c>
      <c r="F103" t="s">
        <v>25</v>
      </c>
      <c r="G103" s="1">
        <v>3.5</v>
      </c>
      <c r="H103" s="1">
        <v>1</v>
      </c>
      <c r="I103" t="s">
        <v>10</v>
      </c>
      <c r="J103" s="1">
        <v>370</v>
      </c>
      <c r="K103" s="1">
        <v>0</v>
      </c>
      <c r="L103" s="1">
        <v>0</v>
      </c>
      <c r="M103" s="1">
        <v>6</v>
      </c>
      <c r="N103" s="1">
        <v>127</v>
      </c>
      <c r="O103" s="1">
        <v>504</v>
      </c>
      <c r="P103" s="1">
        <v>0</v>
      </c>
      <c r="Q103" s="1">
        <v>0</v>
      </c>
      <c r="R103" s="1">
        <v>0</v>
      </c>
      <c r="S103" s="1">
        <v>1</v>
      </c>
    </row>
    <row r="104" spans="1:27" x14ac:dyDescent="0.2">
      <c r="A104" s="1">
        <v>1068776</v>
      </c>
      <c r="B104" t="s">
        <v>6</v>
      </c>
      <c r="C104" s="1">
        <v>45148</v>
      </c>
      <c r="D104" t="s">
        <v>20</v>
      </c>
      <c r="E104" t="s">
        <v>48</v>
      </c>
      <c r="F104" t="s">
        <v>25</v>
      </c>
      <c r="G104" s="1">
        <v>2.2000000000000002</v>
      </c>
      <c r="H104" s="1">
        <v>0.9</v>
      </c>
      <c r="I104" t="s">
        <v>41</v>
      </c>
      <c r="J104" s="1">
        <v>33</v>
      </c>
      <c r="K104" s="1">
        <v>0</v>
      </c>
      <c r="L104" s="1">
        <v>29</v>
      </c>
      <c r="M104" s="1">
        <v>46</v>
      </c>
      <c r="N104" s="1">
        <v>292</v>
      </c>
      <c r="O104" s="1">
        <v>400</v>
      </c>
      <c r="P104" s="1">
        <v>0</v>
      </c>
      <c r="Q104" s="1">
        <v>0</v>
      </c>
      <c r="R104" s="1">
        <v>0</v>
      </c>
      <c r="S104" s="1">
        <v>0</v>
      </c>
    </row>
    <row r="105" spans="1:27" x14ac:dyDescent="0.2">
      <c r="A105" s="1">
        <v>1068778</v>
      </c>
      <c r="B105" t="s">
        <v>6</v>
      </c>
      <c r="C105" s="1">
        <v>45148</v>
      </c>
      <c r="D105" t="s">
        <v>20</v>
      </c>
      <c r="E105" t="s">
        <v>48</v>
      </c>
      <c r="F105" t="s">
        <v>25</v>
      </c>
      <c r="G105" s="1">
        <v>2.2000000000000002</v>
      </c>
      <c r="H105" s="1">
        <v>0.9</v>
      </c>
      <c r="I105" t="s">
        <v>32</v>
      </c>
      <c r="J105" s="1">
        <v>2</v>
      </c>
      <c r="K105" s="1">
        <v>2</v>
      </c>
      <c r="L105" s="1">
        <v>4</v>
      </c>
      <c r="M105" s="1">
        <v>9</v>
      </c>
      <c r="N105" s="1">
        <v>103</v>
      </c>
      <c r="O105" s="1">
        <v>120</v>
      </c>
      <c r="P105" s="1">
        <v>0</v>
      </c>
      <c r="Q105" s="1">
        <v>0</v>
      </c>
      <c r="R105" s="1">
        <v>0</v>
      </c>
      <c r="S105" s="1">
        <v>0</v>
      </c>
    </row>
    <row r="106" spans="1:27" x14ac:dyDescent="0.2">
      <c r="A106" s="1">
        <v>1068783</v>
      </c>
      <c r="B106" t="s">
        <v>6</v>
      </c>
      <c r="C106" s="1">
        <v>45148</v>
      </c>
      <c r="D106" t="s">
        <v>20</v>
      </c>
      <c r="E106" t="s">
        <v>48</v>
      </c>
      <c r="F106" t="s">
        <v>25</v>
      </c>
      <c r="G106" s="1">
        <v>2.2000000000000002</v>
      </c>
      <c r="H106" s="1">
        <v>0.9</v>
      </c>
      <c r="I106" t="s">
        <v>32</v>
      </c>
      <c r="J106" s="1">
        <v>253</v>
      </c>
      <c r="K106" s="1">
        <v>0</v>
      </c>
      <c r="L106" s="1">
        <v>142</v>
      </c>
      <c r="M106" s="1">
        <v>147</v>
      </c>
      <c r="N106" s="1">
        <v>1058</v>
      </c>
      <c r="O106" s="1">
        <v>1600</v>
      </c>
      <c r="P106" s="1">
        <v>0</v>
      </c>
      <c r="Q106" s="1">
        <v>0</v>
      </c>
      <c r="R106" s="1">
        <v>0</v>
      </c>
      <c r="S106" s="1">
        <v>0</v>
      </c>
    </row>
    <row r="107" spans="1:27" x14ac:dyDescent="0.2">
      <c r="A107" s="1">
        <v>1068926</v>
      </c>
      <c r="B107" t="s">
        <v>58</v>
      </c>
      <c r="C107" s="1">
        <v>45182</v>
      </c>
      <c r="D107" t="s">
        <v>20</v>
      </c>
      <c r="E107" t="s">
        <v>78</v>
      </c>
      <c r="F107" t="s">
        <v>75</v>
      </c>
      <c r="G107" s="1">
        <v>3</v>
      </c>
      <c r="H107" s="1">
        <v>0.9</v>
      </c>
      <c r="I107" t="s">
        <v>10</v>
      </c>
      <c r="J107" s="1">
        <v>1</v>
      </c>
      <c r="K107" s="1">
        <v>3</v>
      </c>
      <c r="L107" s="1">
        <v>0</v>
      </c>
      <c r="M107" s="1">
        <v>0</v>
      </c>
      <c r="N107" s="1">
        <v>180</v>
      </c>
      <c r="O107" s="1">
        <v>184</v>
      </c>
      <c r="P107" s="1">
        <v>0</v>
      </c>
      <c r="Q107" s="1">
        <v>0</v>
      </c>
      <c r="R107" s="1">
        <v>0</v>
      </c>
      <c r="S107" s="1">
        <v>0</v>
      </c>
    </row>
    <row r="108" spans="1:27" x14ac:dyDescent="0.2">
      <c r="A108" s="1">
        <v>1069184</v>
      </c>
      <c r="B108" t="s">
        <v>11</v>
      </c>
      <c r="C108" s="1">
        <v>45138</v>
      </c>
      <c r="D108" t="s">
        <v>15</v>
      </c>
      <c r="E108" t="s">
        <v>16</v>
      </c>
      <c r="F108" t="s">
        <v>27</v>
      </c>
      <c r="G108" s="1">
        <v>3</v>
      </c>
      <c r="H108" s="1">
        <v>1.2</v>
      </c>
      <c r="I108" t="s">
        <v>14</v>
      </c>
      <c r="J108" s="1">
        <v>1</v>
      </c>
      <c r="K108" s="1">
        <v>1</v>
      </c>
      <c r="L108" s="1">
        <v>0</v>
      </c>
      <c r="M108" s="1">
        <v>4</v>
      </c>
      <c r="N108" s="1">
        <v>929</v>
      </c>
      <c r="O108" s="1">
        <v>935</v>
      </c>
      <c r="P108" s="1">
        <v>0</v>
      </c>
      <c r="Q108" s="1">
        <v>0</v>
      </c>
      <c r="R108" s="1">
        <v>0</v>
      </c>
      <c r="S108" s="1">
        <v>0</v>
      </c>
    </row>
    <row r="109" spans="1:27" x14ac:dyDescent="0.2">
      <c r="A109" s="1">
        <v>106992</v>
      </c>
      <c r="B109" t="s">
        <v>11</v>
      </c>
      <c r="C109" s="1">
        <v>45138</v>
      </c>
      <c r="D109" t="s">
        <v>12</v>
      </c>
      <c r="E109" t="s">
        <v>70</v>
      </c>
      <c r="F109" t="s">
        <v>13</v>
      </c>
      <c r="G109" s="1">
        <v>1.2</v>
      </c>
      <c r="H109" s="1">
        <v>2.7</v>
      </c>
      <c r="I109" t="s">
        <v>14</v>
      </c>
      <c r="J109" s="1">
        <v>151</v>
      </c>
      <c r="K109" s="1">
        <v>0</v>
      </c>
      <c r="L109" s="1">
        <v>36</v>
      </c>
      <c r="M109" s="1">
        <v>5</v>
      </c>
      <c r="N109" s="1">
        <v>278</v>
      </c>
      <c r="O109" s="1">
        <v>480</v>
      </c>
      <c r="P109" s="1">
        <v>4</v>
      </c>
      <c r="Q109" s="1">
        <v>3</v>
      </c>
      <c r="R109" s="1">
        <v>3</v>
      </c>
      <c r="S109" s="1">
        <v>0</v>
      </c>
    </row>
    <row r="110" spans="1:27" x14ac:dyDescent="0.2">
      <c r="A110" s="1">
        <v>107263</v>
      </c>
      <c r="B110" t="s">
        <v>40</v>
      </c>
      <c r="C110" s="1">
        <v>45142</v>
      </c>
      <c r="D110" t="s">
        <v>15</v>
      </c>
      <c r="E110" t="s">
        <v>79</v>
      </c>
      <c r="F110" t="s">
        <v>13</v>
      </c>
      <c r="G110" s="1">
        <v>3.2</v>
      </c>
      <c r="H110" s="1">
        <v>1.1000000000000001</v>
      </c>
      <c r="I110" t="s">
        <v>41</v>
      </c>
      <c r="J110" s="1">
        <v>2</v>
      </c>
      <c r="K110" s="1">
        <v>14</v>
      </c>
      <c r="L110" s="1">
        <v>1</v>
      </c>
      <c r="M110" s="1">
        <v>1</v>
      </c>
      <c r="N110" s="1">
        <v>1011</v>
      </c>
      <c r="O110" s="1">
        <v>1032</v>
      </c>
      <c r="P110" s="1">
        <v>0</v>
      </c>
      <c r="Q110" s="1">
        <v>0</v>
      </c>
      <c r="R110" s="1">
        <v>0</v>
      </c>
      <c r="S110" s="1">
        <v>3</v>
      </c>
    </row>
    <row r="111" spans="1:27" x14ac:dyDescent="0.2">
      <c r="A111" s="1">
        <v>107277</v>
      </c>
      <c r="B111" t="s">
        <v>40</v>
      </c>
      <c r="C111" s="1">
        <v>45139</v>
      </c>
      <c r="D111" t="s">
        <v>15</v>
      </c>
      <c r="E111" t="s">
        <v>80</v>
      </c>
      <c r="F111" t="s">
        <v>13</v>
      </c>
      <c r="G111" s="1">
        <v>2.2000000000000002</v>
      </c>
      <c r="H111" s="1">
        <v>3</v>
      </c>
      <c r="I111" t="s">
        <v>41</v>
      </c>
      <c r="J111" s="1">
        <v>0</v>
      </c>
      <c r="K111" s="1">
        <v>67</v>
      </c>
      <c r="L111" s="1">
        <v>0</v>
      </c>
      <c r="M111" s="1">
        <v>1</v>
      </c>
      <c r="N111" s="1">
        <v>336</v>
      </c>
      <c r="O111" s="1">
        <v>418</v>
      </c>
      <c r="P111" s="1">
        <v>0</v>
      </c>
      <c r="Q111" s="1">
        <v>3</v>
      </c>
      <c r="R111" s="1">
        <v>6</v>
      </c>
      <c r="S111" s="1">
        <v>5</v>
      </c>
    </row>
    <row r="112" spans="1:27" x14ac:dyDescent="0.2">
      <c r="A112" s="1">
        <v>107370</v>
      </c>
      <c r="B112" t="s">
        <v>60</v>
      </c>
      <c r="C112" s="1">
        <v>45196</v>
      </c>
      <c r="D112" t="s">
        <v>20</v>
      </c>
      <c r="E112" t="s">
        <v>81</v>
      </c>
      <c r="F112" t="s">
        <v>75</v>
      </c>
      <c r="G112" s="1">
        <v>4</v>
      </c>
      <c r="H112" s="1">
        <v>1.1000000000000001</v>
      </c>
      <c r="I112" t="s">
        <v>10</v>
      </c>
      <c r="J112" s="1">
        <v>21</v>
      </c>
      <c r="K112" s="1">
        <v>30</v>
      </c>
      <c r="L112" s="1">
        <v>0</v>
      </c>
      <c r="M112" s="1">
        <v>2</v>
      </c>
      <c r="N112" s="1">
        <v>307</v>
      </c>
      <c r="O112" s="1">
        <v>360</v>
      </c>
      <c r="P112" s="1">
        <v>0</v>
      </c>
      <c r="Q112" s="1">
        <v>0</v>
      </c>
      <c r="R112" s="1">
        <v>0</v>
      </c>
      <c r="S112" s="1">
        <v>0</v>
      </c>
    </row>
    <row r="113" spans="1:19" x14ac:dyDescent="0.2">
      <c r="A113" s="1">
        <v>107396</v>
      </c>
      <c r="B113" t="s">
        <v>60</v>
      </c>
      <c r="C113" s="1">
        <v>45175</v>
      </c>
      <c r="D113" t="s">
        <v>20</v>
      </c>
      <c r="E113" t="s">
        <v>81</v>
      </c>
      <c r="F113" t="s">
        <v>22</v>
      </c>
      <c r="G113" s="1">
        <v>3.2</v>
      </c>
      <c r="H113" s="1">
        <v>0.8</v>
      </c>
      <c r="I113" t="s">
        <v>10</v>
      </c>
      <c r="J113" s="1">
        <v>0</v>
      </c>
      <c r="K113" s="1">
        <v>9</v>
      </c>
      <c r="L113" s="1">
        <v>0</v>
      </c>
      <c r="M113" s="1">
        <v>0</v>
      </c>
      <c r="N113" s="1">
        <v>1487</v>
      </c>
      <c r="O113" s="1">
        <v>1496</v>
      </c>
      <c r="P113" s="1">
        <v>0</v>
      </c>
      <c r="Q113" s="1">
        <v>0</v>
      </c>
      <c r="R113" s="1">
        <v>0</v>
      </c>
      <c r="S113" s="1">
        <v>0</v>
      </c>
    </row>
    <row r="114" spans="1:19" x14ac:dyDescent="0.2">
      <c r="A114" s="1">
        <v>107415</v>
      </c>
      <c r="B114" t="s">
        <v>6</v>
      </c>
      <c r="C114" s="1">
        <v>45133</v>
      </c>
      <c r="D114" t="s">
        <v>20</v>
      </c>
      <c r="E114" t="s">
        <v>82</v>
      </c>
      <c r="F114" t="s">
        <v>9</v>
      </c>
      <c r="G114" s="1">
        <v>5</v>
      </c>
      <c r="H114" s="1">
        <v>1</v>
      </c>
      <c r="I114" t="s">
        <v>10</v>
      </c>
      <c r="J114" s="1">
        <v>81</v>
      </c>
      <c r="K114" s="1">
        <v>59</v>
      </c>
      <c r="L114" s="1">
        <v>2</v>
      </c>
      <c r="M114" s="1">
        <v>2</v>
      </c>
      <c r="N114" s="1">
        <v>420</v>
      </c>
      <c r="O114" s="1">
        <v>580</v>
      </c>
      <c r="P114" s="1">
        <v>1</v>
      </c>
      <c r="Q114" s="1">
        <v>4</v>
      </c>
      <c r="R114" s="1">
        <v>4</v>
      </c>
      <c r="S114" s="1">
        <v>7</v>
      </c>
    </row>
    <row r="115" spans="1:19" x14ac:dyDescent="0.2">
      <c r="A115" s="1">
        <v>1076802</v>
      </c>
      <c r="B115" t="s">
        <v>11</v>
      </c>
      <c r="C115" s="1">
        <v>45132</v>
      </c>
      <c r="D115" t="s">
        <v>15</v>
      </c>
      <c r="E115" t="s">
        <v>61</v>
      </c>
      <c r="F115" t="s">
        <v>28</v>
      </c>
      <c r="G115" s="1">
        <v>2.5</v>
      </c>
      <c r="H115" s="1">
        <v>1.2</v>
      </c>
      <c r="I115" t="s">
        <v>14</v>
      </c>
      <c r="J115" s="1">
        <v>0</v>
      </c>
      <c r="K115" s="1">
        <v>0</v>
      </c>
      <c r="L115" s="1">
        <v>0</v>
      </c>
      <c r="M115" s="1">
        <v>0</v>
      </c>
      <c r="N115" s="1">
        <v>1060</v>
      </c>
      <c r="O115" s="1">
        <v>1060</v>
      </c>
      <c r="P115" s="1">
        <v>0</v>
      </c>
      <c r="Q115" s="1">
        <v>0</v>
      </c>
      <c r="R115" s="1">
        <v>0</v>
      </c>
      <c r="S115" s="1">
        <v>0</v>
      </c>
    </row>
    <row r="116" spans="1:19" x14ac:dyDescent="0.2">
      <c r="A116" s="1">
        <v>1077432</v>
      </c>
      <c r="B116" t="s">
        <v>31</v>
      </c>
      <c r="C116" s="1">
        <v>45145</v>
      </c>
      <c r="D116" t="s">
        <v>15</v>
      </c>
      <c r="E116" t="s">
        <v>83</v>
      </c>
      <c r="F116" t="s">
        <v>13</v>
      </c>
      <c r="G116" s="1">
        <v>2.8</v>
      </c>
      <c r="H116" s="1">
        <v>1.18</v>
      </c>
      <c r="I116" t="s">
        <v>14</v>
      </c>
      <c r="J116" s="1">
        <v>1</v>
      </c>
      <c r="K116" s="1">
        <v>47</v>
      </c>
      <c r="L116" s="1">
        <v>7</v>
      </c>
      <c r="M116" s="1">
        <v>1</v>
      </c>
      <c r="N116" s="1">
        <v>794</v>
      </c>
      <c r="O116" s="1">
        <v>850</v>
      </c>
      <c r="P116" s="1">
        <v>0</v>
      </c>
      <c r="Q116" s="1">
        <v>0</v>
      </c>
      <c r="R116" s="1">
        <v>0</v>
      </c>
      <c r="S116" s="1">
        <v>0</v>
      </c>
    </row>
    <row r="117" spans="1:19" x14ac:dyDescent="0.2">
      <c r="A117" s="1">
        <v>107772</v>
      </c>
      <c r="B117" t="s">
        <v>17</v>
      </c>
      <c r="C117" s="1">
        <v>45149</v>
      </c>
      <c r="D117" t="s">
        <v>7</v>
      </c>
      <c r="E117" t="s">
        <v>33</v>
      </c>
      <c r="F117" t="s">
        <v>13</v>
      </c>
      <c r="G117" s="1">
        <v>0</v>
      </c>
      <c r="H117" s="1">
        <v>0</v>
      </c>
      <c r="I117" t="s">
        <v>41</v>
      </c>
      <c r="J117" s="1">
        <v>0</v>
      </c>
      <c r="K117" s="1">
        <v>0</v>
      </c>
      <c r="L117" s="1">
        <v>0</v>
      </c>
      <c r="M117" s="1">
        <v>0</v>
      </c>
      <c r="N117" s="1">
        <v>1362</v>
      </c>
      <c r="O117" s="1">
        <v>1362</v>
      </c>
      <c r="P117" s="1">
        <v>0</v>
      </c>
      <c r="Q117" s="1">
        <v>0</v>
      </c>
      <c r="R117" s="1">
        <v>0</v>
      </c>
      <c r="S117" s="1">
        <v>0</v>
      </c>
    </row>
    <row r="118" spans="1:19" x14ac:dyDescent="0.2">
      <c r="A118" s="1">
        <v>107986</v>
      </c>
      <c r="B118" t="s">
        <v>60</v>
      </c>
      <c r="C118" s="1">
        <v>45196</v>
      </c>
      <c r="D118" t="s">
        <v>20</v>
      </c>
      <c r="E118" t="s">
        <v>74</v>
      </c>
      <c r="F118" t="s">
        <v>75</v>
      </c>
      <c r="G118" s="1">
        <v>4</v>
      </c>
      <c r="H118" s="1">
        <v>0.8</v>
      </c>
      <c r="I118" t="s">
        <v>10</v>
      </c>
      <c r="J118" s="1">
        <v>18</v>
      </c>
      <c r="K118" s="1">
        <v>127</v>
      </c>
      <c r="L118" s="1">
        <v>0</v>
      </c>
      <c r="M118" s="1">
        <v>9</v>
      </c>
      <c r="N118" s="1">
        <v>1104</v>
      </c>
      <c r="O118" s="1">
        <v>1260</v>
      </c>
      <c r="P118" s="1">
        <v>2</v>
      </c>
      <c r="Q118" s="1">
        <v>0</v>
      </c>
      <c r="R118" s="1">
        <v>0</v>
      </c>
      <c r="S118" s="1">
        <v>0</v>
      </c>
    </row>
    <row r="119" spans="1:19" x14ac:dyDescent="0.2">
      <c r="A119" s="1">
        <v>1080126</v>
      </c>
      <c r="B119" t="s">
        <v>11</v>
      </c>
      <c r="C119" s="1">
        <v>45131</v>
      </c>
      <c r="D119" t="s">
        <v>12</v>
      </c>
      <c r="E119" t="s">
        <v>84</v>
      </c>
      <c r="F119" t="s">
        <v>28</v>
      </c>
      <c r="G119" s="1">
        <v>2.85</v>
      </c>
      <c r="H119" s="1">
        <v>0.9</v>
      </c>
      <c r="I119" t="s">
        <v>14</v>
      </c>
      <c r="J119" s="1">
        <v>0</v>
      </c>
      <c r="K119" s="1">
        <v>0</v>
      </c>
      <c r="L119" s="1">
        <v>0</v>
      </c>
      <c r="M119" s="1">
        <v>0</v>
      </c>
      <c r="N119" s="1">
        <v>1128</v>
      </c>
      <c r="O119" s="1">
        <v>1128</v>
      </c>
      <c r="P119" s="1">
        <v>0</v>
      </c>
      <c r="Q119" s="1">
        <v>0</v>
      </c>
      <c r="R119" s="1">
        <v>0</v>
      </c>
      <c r="S119" s="1">
        <v>0</v>
      </c>
    </row>
    <row r="120" spans="1:19" x14ac:dyDescent="0.2">
      <c r="A120" s="1">
        <v>1081752</v>
      </c>
      <c r="B120" t="s">
        <v>35</v>
      </c>
      <c r="C120" s="1">
        <v>45145</v>
      </c>
      <c r="D120" t="s">
        <v>44</v>
      </c>
      <c r="E120" t="s">
        <v>85</v>
      </c>
      <c r="F120" t="s">
        <v>66</v>
      </c>
      <c r="G120" s="1">
        <v>2.6</v>
      </c>
      <c r="H120" s="1">
        <v>1</v>
      </c>
      <c r="I120" t="s">
        <v>34</v>
      </c>
      <c r="J120" s="1">
        <v>0</v>
      </c>
      <c r="K120" s="1">
        <v>0</v>
      </c>
      <c r="L120" s="1">
        <v>0</v>
      </c>
      <c r="M120" s="1">
        <v>0</v>
      </c>
      <c r="N120" s="1">
        <v>1417</v>
      </c>
      <c r="O120" s="1">
        <v>1420</v>
      </c>
      <c r="P120" s="1">
        <v>2</v>
      </c>
      <c r="Q120" s="1">
        <v>1</v>
      </c>
      <c r="R120" s="1">
        <v>0</v>
      </c>
      <c r="S120" s="1">
        <v>0</v>
      </c>
    </row>
    <row r="121" spans="1:19" x14ac:dyDescent="0.2">
      <c r="A121" s="1">
        <v>1082350</v>
      </c>
      <c r="B121" t="s">
        <v>19</v>
      </c>
      <c r="C121" s="1">
        <v>45215</v>
      </c>
      <c r="D121" t="s">
        <v>20</v>
      </c>
      <c r="E121" t="s">
        <v>62</v>
      </c>
      <c r="F121" t="s">
        <v>28</v>
      </c>
      <c r="G121" s="1">
        <v>2.4</v>
      </c>
      <c r="H121" s="1">
        <v>1</v>
      </c>
      <c r="I121" t="s">
        <v>18</v>
      </c>
      <c r="J121" s="1">
        <v>19</v>
      </c>
      <c r="K121" s="1">
        <v>0</v>
      </c>
      <c r="L121" s="1">
        <v>0</v>
      </c>
      <c r="M121" s="1">
        <v>0</v>
      </c>
      <c r="N121" s="1">
        <v>231</v>
      </c>
      <c r="O121" s="1">
        <v>250</v>
      </c>
      <c r="P121" s="1">
        <v>0</v>
      </c>
      <c r="Q121" s="1">
        <v>0</v>
      </c>
      <c r="R121" s="1">
        <v>0</v>
      </c>
      <c r="S121" s="1">
        <v>0</v>
      </c>
    </row>
    <row r="122" spans="1:19" x14ac:dyDescent="0.2">
      <c r="A122" s="1">
        <v>1082351</v>
      </c>
      <c r="B122" t="s">
        <v>19</v>
      </c>
      <c r="C122" s="1">
        <v>45215</v>
      </c>
      <c r="D122" t="s">
        <v>20</v>
      </c>
      <c r="E122" t="s">
        <v>62</v>
      </c>
      <c r="F122" t="s">
        <v>28</v>
      </c>
      <c r="G122" s="1">
        <v>2.4</v>
      </c>
      <c r="H122" s="1">
        <v>1</v>
      </c>
      <c r="I122" t="s">
        <v>41</v>
      </c>
      <c r="J122" s="1">
        <v>25</v>
      </c>
      <c r="K122" s="1">
        <v>0</v>
      </c>
      <c r="L122" s="1">
        <v>0</v>
      </c>
      <c r="M122" s="1">
        <v>0</v>
      </c>
      <c r="N122" s="1">
        <v>345</v>
      </c>
      <c r="O122" s="1">
        <v>372</v>
      </c>
      <c r="P122" s="1">
        <v>1</v>
      </c>
      <c r="Q122" s="1">
        <v>1</v>
      </c>
      <c r="R122" s="1">
        <v>0</v>
      </c>
      <c r="S122" s="1">
        <v>0</v>
      </c>
    </row>
    <row r="123" spans="1:19" x14ac:dyDescent="0.2">
      <c r="A123" s="1">
        <v>108248</v>
      </c>
      <c r="B123" t="s">
        <v>24</v>
      </c>
      <c r="C123" s="1">
        <v>45136</v>
      </c>
      <c r="D123" t="s">
        <v>20</v>
      </c>
      <c r="E123" t="s">
        <v>86</v>
      </c>
      <c r="F123" t="s">
        <v>28</v>
      </c>
      <c r="G123" s="1">
        <v>4</v>
      </c>
      <c r="H123" s="1">
        <v>0.7</v>
      </c>
      <c r="I123" t="s">
        <v>10</v>
      </c>
      <c r="J123" s="1">
        <v>0</v>
      </c>
      <c r="K123" s="1">
        <v>0</v>
      </c>
      <c r="L123" s="1">
        <v>10</v>
      </c>
      <c r="M123" s="1">
        <v>11</v>
      </c>
      <c r="N123" s="1">
        <v>1458</v>
      </c>
      <c r="O123" s="1">
        <v>1508</v>
      </c>
      <c r="P123" s="1">
        <v>1</v>
      </c>
      <c r="Q123" s="1">
        <v>1</v>
      </c>
      <c r="R123" s="1">
        <v>1</v>
      </c>
      <c r="S123" s="1">
        <v>26</v>
      </c>
    </row>
    <row r="124" spans="1:19" x14ac:dyDescent="0.2">
      <c r="A124" s="1">
        <v>108264</v>
      </c>
      <c r="B124" t="s">
        <v>35</v>
      </c>
      <c r="C124" s="1">
        <v>45145</v>
      </c>
      <c r="D124" t="s">
        <v>44</v>
      </c>
      <c r="E124" t="s">
        <v>85</v>
      </c>
      <c r="F124" t="s">
        <v>27</v>
      </c>
      <c r="G124" s="1">
        <v>2.5</v>
      </c>
      <c r="H124" s="1">
        <v>0.8</v>
      </c>
      <c r="I124" t="s">
        <v>14</v>
      </c>
      <c r="J124" s="1">
        <v>0</v>
      </c>
      <c r="K124" s="1">
        <v>0</v>
      </c>
      <c r="L124" s="1">
        <v>0</v>
      </c>
      <c r="M124" s="1">
        <v>0</v>
      </c>
      <c r="N124" s="1">
        <v>1040</v>
      </c>
      <c r="O124" s="1">
        <v>1040</v>
      </c>
      <c r="P124" s="1">
        <v>0</v>
      </c>
      <c r="Q124" s="1">
        <v>0</v>
      </c>
      <c r="R124" s="1">
        <v>0</v>
      </c>
      <c r="S124" s="1">
        <v>0</v>
      </c>
    </row>
    <row r="125" spans="1:19" x14ac:dyDescent="0.2">
      <c r="A125" s="1">
        <v>108306</v>
      </c>
      <c r="B125" t="s">
        <v>31</v>
      </c>
      <c r="C125" s="1">
        <v>45158</v>
      </c>
      <c r="D125" t="s">
        <v>15</v>
      </c>
      <c r="E125" t="s">
        <v>55</v>
      </c>
      <c r="F125" t="s">
        <v>28</v>
      </c>
      <c r="G125" s="1">
        <v>2.9</v>
      </c>
      <c r="H125" s="1">
        <v>0.9</v>
      </c>
      <c r="I125" t="s">
        <v>14</v>
      </c>
      <c r="J125" s="1">
        <v>2</v>
      </c>
      <c r="K125" s="1">
        <v>3</v>
      </c>
      <c r="L125" s="1">
        <v>7</v>
      </c>
      <c r="M125" s="1">
        <v>10</v>
      </c>
      <c r="N125" s="1">
        <v>1317</v>
      </c>
      <c r="O125" s="1">
        <v>1350</v>
      </c>
      <c r="P125" s="1">
        <v>0</v>
      </c>
      <c r="Q125" s="1">
        <v>1</v>
      </c>
      <c r="R125" s="1">
        <v>3</v>
      </c>
      <c r="S125" s="1">
        <v>7</v>
      </c>
    </row>
    <row r="126" spans="1:19" x14ac:dyDescent="0.2">
      <c r="A126" s="1">
        <v>108517</v>
      </c>
      <c r="B126" t="s">
        <v>35</v>
      </c>
      <c r="C126" s="1">
        <v>45168</v>
      </c>
      <c r="D126" t="s">
        <v>20</v>
      </c>
      <c r="E126" t="s">
        <v>87</v>
      </c>
      <c r="F126" t="s">
        <v>9</v>
      </c>
      <c r="G126" s="1">
        <v>3.7</v>
      </c>
      <c r="H126" s="1">
        <v>1</v>
      </c>
      <c r="I126" t="s">
        <v>10</v>
      </c>
      <c r="J126" s="1">
        <v>0</v>
      </c>
      <c r="K126" s="1">
        <v>0</v>
      </c>
      <c r="L126" s="1">
        <v>0</v>
      </c>
      <c r="M126" s="1">
        <v>0</v>
      </c>
      <c r="N126" s="1">
        <v>700</v>
      </c>
      <c r="O126" s="1">
        <v>700</v>
      </c>
      <c r="P126" s="1">
        <v>0</v>
      </c>
      <c r="Q126" s="1">
        <v>0</v>
      </c>
      <c r="R126" s="1">
        <v>0</v>
      </c>
      <c r="S126" s="1">
        <v>0</v>
      </c>
    </row>
    <row r="127" spans="1:19" x14ac:dyDescent="0.2">
      <c r="A127" s="1">
        <v>1085175</v>
      </c>
      <c r="B127" t="s">
        <v>26</v>
      </c>
      <c r="C127" s="1">
        <v>45160</v>
      </c>
      <c r="D127" t="s">
        <v>15</v>
      </c>
      <c r="E127" t="s">
        <v>88</v>
      </c>
      <c r="F127" t="s">
        <v>13</v>
      </c>
      <c r="G127" s="1">
        <v>3</v>
      </c>
      <c r="H127" s="1">
        <v>1.2</v>
      </c>
      <c r="I127" t="s">
        <v>14</v>
      </c>
      <c r="J127" s="1">
        <v>3</v>
      </c>
      <c r="K127" s="1">
        <v>2</v>
      </c>
      <c r="L127" s="1">
        <v>4</v>
      </c>
      <c r="M127" s="1">
        <v>53</v>
      </c>
      <c r="N127" s="1">
        <v>2147</v>
      </c>
      <c r="O127" s="1">
        <v>2226</v>
      </c>
      <c r="P127" s="1">
        <v>0</v>
      </c>
      <c r="Q127" s="1">
        <v>0</v>
      </c>
      <c r="R127" s="1">
        <v>3</v>
      </c>
      <c r="S127" s="1">
        <v>14</v>
      </c>
    </row>
    <row r="128" spans="1:19" x14ac:dyDescent="0.2">
      <c r="A128" s="1">
        <v>1086610</v>
      </c>
      <c r="B128" t="s">
        <v>24</v>
      </c>
      <c r="C128" s="1">
        <v>45142</v>
      </c>
      <c r="D128" t="s">
        <v>20</v>
      </c>
      <c r="E128" t="s">
        <v>67</v>
      </c>
      <c r="F128" t="s">
        <v>25</v>
      </c>
      <c r="G128" s="1">
        <v>2.2000000000000002</v>
      </c>
      <c r="H128" s="1">
        <v>0.8</v>
      </c>
      <c r="I128" t="s">
        <v>18</v>
      </c>
      <c r="J128" s="1">
        <v>6</v>
      </c>
      <c r="K128" s="1">
        <v>0</v>
      </c>
      <c r="L128" s="1">
        <v>1</v>
      </c>
      <c r="M128" s="1">
        <v>15</v>
      </c>
      <c r="N128" s="1">
        <v>1499</v>
      </c>
      <c r="O128" s="1">
        <v>1600</v>
      </c>
      <c r="P128" s="1">
        <v>37</v>
      </c>
      <c r="Q128" s="1">
        <v>5</v>
      </c>
      <c r="R128" s="1">
        <v>0</v>
      </c>
      <c r="S128" s="1">
        <v>37</v>
      </c>
    </row>
    <row r="129" spans="1:19" x14ac:dyDescent="0.2">
      <c r="A129" s="1">
        <v>1087868</v>
      </c>
      <c r="B129" t="s">
        <v>11</v>
      </c>
      <c r="C129" s="1">
        <v>45135</v>
      </c>
      <c r="D129" t="s">
        <v>15</v>
      </c>
      <c r="E129" t="s">
        <v>61</v>
      </c>
      <c r="F129" t="s">
        <v>13</v>
      </c>
      <c r="G129" s="1">
        <v>3</v>
      </c>
      <c r="H129" s="1">
        <v>1.1000000000000001</v>
      </c>
      <c r="I129" t="s">
        <v>14</v>
      </c>
      <c r="J129" s="1">
        <v>0</v>
      </c>
      <c r="K129" s="1">
        <v>1</v>
      </c>
      <c r="L129" s="1">
        <v>0</v>
      </c>
      <c r="M129" s="1">
        <v>0</v>
      </c>
      <c r="N129" s="1">
        <v>605</v>
      </c>
      <c r="O129" s="1">
        <v>606</v>
      </c>
      <c r="P129" s="1">
        <v>0</v>
      </c>
      <c r="Q129" s="1">
        <v>0</v>
      </c>
      <c r="R129" s="1">
        <v>0</v>
      </c>
      <c r="S129" s="1">
        <v>0</v>
      </c>
    </row>
    <row r="130" spans="1:19" x14ac:dyDescent="0.2">
      <c r="A130" s="1">
        <v>1088094</v>
      </c>
      <c r="B130" t="s">
        <v>11</v>
      </c>
      <c r="C130" s="1">
        <v>45144</v>
      </c>
      <c r="D130" t="s">
        <v>12</v>
      </c>
      <c r="E130" t="s">
        <v>89</v>
      </c>
      <c r="F130" t="s">
        <v>13</v>
      </c>
      <c r="G130" s="1">
        <v>2.9</v>
      </c>
      <c r="H130" s="1">
        <v>1.25</v>
      </c>
      <c r="I130" t="s">
        <v>14</v>
      </c>
      <c r="J130" s="1">
        <v>5</v>
      </c>
      <c r="K130" s="1">
        <v>31</v>
      </c>
      <c r="L130" s="1">
        <v>0</v>
      </c>
      <c r="M130" s="1">
        <v>0</v>
      </c>
      <c r="N130" s="1">
        <v>454</v>
      </c>
      <c r="O130" s="1">
        <v>576</v>
      </c>
      <c r="P130" s="1">
        <v>47</v>
      </c>
      <c r="Q130" s="1">
        <v>32</v>
      </c>
      <c r="R130" s="1">
        <v>6</v>
      </c>
      <c r="S130" s="1">
        <v>1</v>
      </c>
    </row>
    <row r="131" spans="1:19" x14ac:dyDescent="0.2">
      <c r="A131" s="1">
        <v>108824</v>
      </c>
      <c r="B131" t="s">
        <v>58</v>
      </c>
      <c r="C131" s="1">
        <v>45138</v>
      </c>
      <c r="D131" t="s">
        <v>20</v>
      </c>
      <c r="E131" t="s">
        <v>90</v>
      </c>
      <c r="F131" t="s">
        <v>25</v>
      </c>
      <c r="G131" s="1">
        <v>2.2000000000000002</v>
      </c>
      <c r="H131" s="1">
        <v>0.6</v>
      </c>
      <c r="I131" t="s">
        <v>18</v>
      </c>
      <c r="J131" s="1">
        <v>13</v>
      </c>
      <c r="K131" s="1">
        <v>103</v>
      </c>
      <c r="L131" s="1">
        <v>8</v>
      </c>
      <c r="M131" s="1">
        <v>6</v>
      </c>
      <c r="N131" s="1">
        <v>1962</v>
      </c>
      <c r="O131" s="1">
        <v>2113</v>
      </c>
      <c r="P131" s="1">
        <v>2</v>
      </c>
      <c r="Q131" s="1">
        <v>0</v>
      </c>
      <c r="R131" s="1">
        <v>10</v>
      </c>
      <c r="S131" s="1">
        <v>9</v>
      </c>
    </row>
    <row r="132" spans="1:19" x14ac:dyDescent="0.2">
      <c r="A132" s="1">
        <v>108826</v>
      </c>
      <c r="B132" t="s">
        <v>58</v>
      </c>
      <c r="C132" s="1">
        <v>45138</v>
      </c>
      <c r="D132" t="s">
        <v>20</v>
      </c>
      <c r="E132" t="s">
        <v>90</v>
      </c>
      <c r="F132" t="s">
        <v>25</v>
      </c>
      <c r="G132" s="1">
        <v>2.2000000000000002</v>
      </c>
      <c r="H132" s="1">
        <v>0.6</v>
      </c>
      <c r="I132" t="s">
        <v>18</v>
      </c>
      <c r="J132" s="1">
        <v>20</v>
      </c>
      <c r="K132" s="1">
        <v>49</v>
      </c>
      <c r="L132" s="1">
        <v>3</v>
      </c>
      <c r="M132" s="1">
        <v>3</v>
      </c>
      <c r="N132" s="1">
        <v>1263</v>
      </c>
      <c r="O132" s="1">
        <v>1350</v>
      </c>
      <c r="P132" s="1">
        <v>0</v>
      </c>
      <c r="Q132" s="1">
        <v>1</v>
      </c>
      <c r="R132" s="1">
        <v>4</v>
      </c>
      <c r="S132" s="1">
        <v>7</v>
      </c>
    </row>
    <row r="133" spans="1:19" x14ac:dyDescent="0.2">
      <c r="A133" s="1">
        <v>108836</v>
      </c>
      <c r="B133" t="s">
        <v>58</v>
      </c>
      <c r="C133" s="1">
        <v>45138</v>
      </c>
      <c r="D133" t="s">
        <v>20</v>
      </c>
      <c r="E133" t="s">
        <v>90</v>
      </c>
      <c r="F133" t="s">
        <v>25</v>
      </c>
      <c r="G133" s="1">
        <v>2.2000000000000002</v>
      </c>
      <c r="H133" s="1">
        <v>0.6</v>
      </c>
      <c r="I133" t="s">
        <v>18</v>
      </c>
      <c r="J133" s="1">
        <v>8</v>
      </c>
      <c r="K133" s="1">
        <v>80</v>
      </c>
      <c r="L133" s="1">
        <v>6</v>
      </c>
      <c r="M133" s="1">
        <v>3</v>
      </c>
      <c r="N133" s="1">
        <v>1074</v>
      </c>
      <c r="O133" s="1">
        <v>1186</v>
      </c>
      <c r="P133" s="1">
        <v>0</v>
      </c>
      <c r="Q133" s="1">
        <v>1</v>
      </c>
      <c r="R133" s="1">
        <v>5</v>
      </c>
      <c r="S133" s="1">
        <v>9</v>
      </c>
    </row>
    <row r="134" spans="1:19" x14ac:dyDescent="0.2">
      <c r="A134" s="1">
        <v>108889</v>
      </c>
      <c r="B134" t="s">
        <v>24</v>
      </c>
      <c r="C134" s="1">
        <v>45167</v>
      </c>
      <c r="D134" t="s">
        <v>20</v>
      </c>
      <c r="E134" t="s">
        <v>62</v>
      </c>
      <c r="F134" t="s">
        <v>25</v>
      </c>
      <c r="G134" s="1">
        <v>3.7</v>
      </c>
      <c r="H134" s="1">
        <v>0.6</v>
      </c>
      <c r="I134" t="s">
        <v>23</v>
      </c>
      <c r="J134" s="1">
        <v>14</v>
      </c>
      <c r="K134" s="1">
        <v>6</v>
      </c>
      <c r="L134" s="1">
        <v>0</v>
      </c>
      <c r="M134" s="1">
        <v>0</v>
      </c>
      <c r="N134" s="1">
        <v>744</v>
      </c>
      <c r="O134" s="1">
        <v>774</v>
      </c>
      <c r="P134" s="1">
        <v>10</v>
      </c>
      <c r="Q134" s="1">
        <v>0</v>
      </c>
      <c r="R134" s="1">
        <v>0</v>
      </c>
      <c r="S134" s="1">
        <v>0</v>
      </c>
    </row>
    <row r="135" spans="1:19" x14ac:dyDescent="0.2">
      <c r="A135" s="1">
        <v>108890</v>
      </c>
      <c r="B135" t="s">
        <v>24</v>
      </c>
      <c r="C135" s="1">
        <v>45167</v>
      </c>
      <c r="D135" t="s">
        <v>20</v>
      </c>
      <c r="E135" t="s">
        <v>62</v>
      </c>
      <c r="F135" t="s">
        <v>75</v>
      </c>
      <c r="G135" s="1">
        <v>2</v>
      </c>
      <c r="H135" s="1">
        <v>1</v>
      </c>
      <c r="I135" t="s">
        <v>18</v>
      </c>
      <c r="J135" s="1">
        <v>25</v>
      </c>
      <c r="K135" s="1">
        <v>0</v>
      </c>
      <c r="L135" s="1">
        <v>0</v>
      </c>
      <c r="M135" s="1">
        <v>6</v>
      </c>
      <c r="N135" s="1">
        <v>1321</v>
      </c>
      <c r="O135" s="1">
        <v>1380</v>
      </c>
      <c r="P135" s="1">
        <v>21</v>
      </c>
      <c r="Q135" s="1">
        <v>0</v>
      </c>
      <c r="R135" s="1">
        <v>0</v>
      </c>
      <c r="S135" s="1">
        <v>7</v>
      </c>
    </row>
    <row r="136" spans="1:19" x14ac:dyDescent="0.2">
      <c r="A136" s="1">
        <v>108893</v>
      </c>
      <c r="B136" t="s">
        <v>24</v>
      </c>
      <c r="C136" s="1">
        <v>45167</v>
      </c>
      <c r="D136" t="s">
        <v>20</v>
      </c>
      <c r="E136" t="s">
        <v>62</v>
      </c>
      <c r="F136" t="s">
        <v>75</v>
      </c>
      <c r="G136" s="1">
        <v>2</v>
      </c>
      <c r="H136" s="1">
        <v>1</v>
      </c>
      <c r="I136" t="s">
        <v>18</v>
      </c>
      <c r="J136" s="1">
        <v>24</v>
      </c>
      <c r="K136" s="1">
        <v>0</v>
      </c>
      <c r="L136" s="1">
        <v>0</v>
      </c>
      <c r="M136" s="1">
        <v>4</v>
      </c>
      <c r="N136" s="1">
        <v>1680</v>
      </c>
      <c r="O136" s="1">
        <v>1716</v>
      </c>
      <c r="P136" s="1">
        <v>7</v>
      </c>
      <c r="Q136" s="1">
        <v>0</v>
      </c>
      <c r="R136" s="1">
        <v>0</v>
      </c>
      <c r="S136" s="1">
        <v>1</v>
      </c>
    </row>
    <row r="137" spans="1:19" x14ac:dyDescent="0.2">
      <c r="A137" s="1">
        <v>109059</v>
      </c>
      <c r="B137" t="s">
        <v>35</v>
      </c>
      <c r="C137" s="1">
        <v>45142</v>
      </c>
      <c r="D137" t="s">
        <v>44</v>
      </c>
      <c r="E137" t="s">
        <v>91</v>
      </c>
      <c r="F137" t="s">
        <v>13</v>
      </c>
      <c r="G137" s="1">
        <v>2.8</v>
      </c>
      <c r="H137" s="1">
        <v>0.8</v>
      </c>
      <c r="I137" t="s">
        <v>14</v>
      </c>
      <c r="J137" s="1">
        <v>0</v>
      </c>
      <c r="K137" s="1">
        <v>0</v>
      </c>
      <c r="L137" s="1">
        <v>0</v>
      </c>
      <c r="M137" s="1">
        <v>0</v>
      </c>
      <c r="N137" s="1">
        <v>1219</v>
      </c>
      <c r="O137" s="1">
        <v>1380</v>
      </c>
      <c r="P137" s="1">
        <v>18</v>
      </c>
      <c r="Q137" s="1">
        <v>38</v>
      </c>
      <c r="R137" s="1">
        <v>58</v>
      </c>
      <c r="S137" s="1">
        <v>47</v>
      </c>
    </row>
    <row r="138" spans="1:19" x14ac:dyDescent="0.2">
      <c r="A138" s="1">
        <v>1091756</v>
      </c>
      <c r="B138" t="s">
        <v>11</v>
      </c>
      <c r="C138" s="1">
        <v>45144</v>
      </c>
      <c r="D138" t="s">
        <v>12</v>
      </c>
      <c r="E138" t="s">
        <v>89</v>
      </c>
      <c r="F138" t="s">
        <v>13</v>
      </c>
      <c r="G138" s="1">
        <v>2.9</v>
      </c>
      <c r="H138" s="1">
        <v>1.25</v>
      </c>
      <c r="I138" t="s">
        <v>14</v>
      </c>
      <c r="J138" s="1">
        <v>13</v>
      </c>
      <c r="K138" s="1">
        <v>70</v>
      </c>
      <c r="L138" s="1">
        <v>0</v>
      </c>
      <c r="M138" s="1">
        <v>0</v>
      </c>
      <c r="N138" s="1">
        <v>552</v>
      </c>
      <c r="O138" s="1">
        <v>720</v>
      </c>
      <c r="P138" s="1">
        <v>61</v>
      </c>
      <c r="Q138" s="1">
        <v>20</v>
      </c>
      <c r="R138" s="1">
        <v>4</v>
      </c>
      <c r="S138" s="1">
        <v>0</v>
      </c>
    </row>
    <row r="139" spans="1:19" x14ac:dyDescent="0.2">
      <c r="A139" s="1">
        <v>1092095</v>
      </c>
      <c r="B139" t="s">
        <v>26</v>
      </c>
      <c r="C139" s="1">
        <v>45135</v>
      </c>
      <c r="D139" t="s">
        <v>15</v>
      </c>
      <c r="E139" t="s">
        <v>92</v>
      </c>
      <c r="F139" t="s">
        <v>27</v>
      </c>
      <c r="G139" s="1">
        <v>3</v>
      </c>
      <c r="H139" s="1">
        <v>1.2</v>
      </c>
      <c r="I139" t="s">
        <v>14</v>
      </c>
      <c r="J139" s="1">
        <v>5</v>
      </c>
      <c r="K139" s="1">
        <v>0</v>
      </c>
      <c r="L139" s="1">
        <v>0</v>
      </c>
      <c r="M139" s="1">
        <v>0</v>
      </c>
      <c r="N139" s="1">
        <v>245</v>
      </c>
      <c r="O139" s="1">
        <v>256</v>
      </c>
      <c r="P139" s="1">
        <v>0</v>
      </c>
      <c r="Q139" s="1">
        <v>1</v>
      </c>
      <c r="R139" s="1">
        <v>3</v>
      </c>
      <c r="S139" s="1">
        <v>2</v>
      </c>
    </row>
    <row r="140" spans="1:19" x14ac:dyDescent="0.2">
      <c r="A140" s="1">
        <v>109531</v>
      </c>
      <c r="B140" t="s">
        <v>19</v>
      </c>
      <c r="C140" s="1">
        <v>45209</v>
      </c>
      <c r="D140" t="s">
        <v>20</v>
      </c>
      <c r="E140" t="s">
        <v>46</v>
      </c>
      <c r="F140" t="s">
        <v>93</v>
      </c>
      <c r="G140" s="1">
        <v>3.2</v>
      </c>
      <c r="H140" s="1">
        <v>0.9</v>
      </c>
      <c r="I140" t="s">
        <v>23</v>
      </c>
      <c r="J140" s="1">
        <v>63</v>
      </c>
      <c r="K140" s="1">
        <v>83</v>
      </c>
      <c r="L140" s="1">
        <v>0</v>
      </c>
      <c r="M140" s="1">
        <v>56</v>
      </c>
      <c r="N140" s="1">
        <v>406</v>
      </c>
      <c r="O140" s="1">
        <v>608</v>
      </c>
      <c r="P140" s="1">
        <v>0</v>
      </c>
      <c r="Q140" s="1">
        <v>0</v>
      </c>
      <c r="R140" s="1">
        <v>0</v>
      </c>
      <c r="S140" s="1">
        <v>0</v>
      </c>
    </row>
    <row r="141" spans="1:19" x14ac:dyDescent="0.2">
      <c r="A141" s="1">
        <v>1096341</v>
      </c>
      <c r="B141" t="s">
        <v>6</v>
      </c>
      <c r="C141" s="1">
        <v>45135</v>
      </c>
      <c r="D141" t="s">
        <v>20</v>
      </c>
      <c r="E141" t="s">
        <v>82</v>
      </c>
      <c r="F141" t="s">
        <v>9</v>
      </c>
      <c r="G141" s="1">
        <v>4</v>
      </c>
      <c r="H141" s="1">
        <v>1</v>
      </c>
      <c r="I141" t="s">
        <v>10</v>
      </c>
      <c r="J141" s="1">
        <v>93</v>
      </c>
      <c r="K141" s="1">
        <v>2</v>
      </c>
      <c r="L141" s="1">
        <v>9</v>
      </c>
      <c r="M141" s="1">
        <v>17</v>
      </c>
      <c r="N141" s="1">
        <v>342</v>
      </c>
      <c r="O141" s="1">
        <v>480</v>
      </c>
      <c r="P141" s="1">
        <v>1</v>
      </c>
      <c r="Q141" s="1">
        <v>6</v>
      </c>
      <c r="R141" s="1">
        <v>5</v>
      </c>
      <c r="S141" s="1">
        <v>5</v>
      </c>
    </row>
    <row r="142" spans="1:19" x14ac:dyDescent="0.2">
      <c r="A142" s="1">
        <v>1097167</v>
      </c>
      <c r="B142" t="s">
        <v>31</v>
      </c>
      <c r="C142" s="1">
        <v>45140</v>
      </c>
      <c r="D142" t="s">
        <v>15</v>
      </c>
      <c r="E142" t="s">
        <v>54</v>
      </c>
      <c r="F142" t="s">
        <v>13</v>
      </c>
      <c r="G142" s="1">
        <v>3</v>
      </c>
      <c r="H142" s="1">
        <v>1</v>
      </c>
      <c r="I142" t="s">
        <v>32</v>
      </c>
      <c r="J142" s="1">
        <v>76</v>
      </c>
      <c r="K142" s="1">
        <v>30</v>
      </c>
      <c r="L142" s="1">
        <v>11</v>
      </c>
      <c r="M142" s="1">
        <v>21</v>
      </c>
      <c r="N142" s="1">
        <v>1010</v>
      </c>
      <c r="O142" s="1">
        <v>1150</v>
      </c>
      <c r="P142" s="1">
        <v>0</v>
      </c>
      <c r="Q142" s="1">
        <v>0</v>
      </c>
      <c r="R142" s="1">
        <v>2</v>
      </c>
      <c r="S142" s="1">
        <v>0</v>
      </c>
    </row>
    <row r="143" spans="1:19" x14ac:dyDescent="0.2">
      <c r="A143" s="1">
        <v>110151</v>
      </c>
      <c r="B143" t="s">
        <v>11</v>
      </c>
      <c r="C143" s="1">
        <v>45139</v>
      </c>
      <c r="D143" t="s">
        <v>12</v>
      </c>
      <c r="E143" t="s">
        <v>89</v>
      </c>
      <c r="F143" t="s">
        <v>28</v>
      </c>
      <c r="G143" s="1">
        <v>2.8</v>
      </c>
      <c r="H143" s="1">
        <v>1</v>
      </c>
      <c r="I143" t="s">
        <v>14</v>
      </c>
      <c r="J143" s="1">
        <v>1</v>
      </c>
      <c r="K143" s="1">
        <v>10</v>
      </c>
      <c r="L143" s="1">
        <v>0</v>
      </c>
      <c r="M143" s="1">
        <v>0</v>
      </c>
      <c r="N143" s="1">
        <v>1148</v>
      </c>
      <c r="O143" s="1">
        <v>1164</v>
      </c>
      <c r="P143" s="1">
        <v>3</v>
      </c>
      <c r="Q143" s="1">
        <v>0</v>
      </c>
      <c r="R143" s="1">
        <v>1</v>
      </c>
      <c r="S143" s="1">
        <v>1</v>
      </c>
    </row>
    <row r="144" spans="1:19" x14ac:dyDescent="0.2">
      <c r="A144" s="1">
        <v>1103116</v>
      </c>
      <c r="B144" t="s">
        <v>65</v>
      </c>
      <c r="C144" s="1">
        <v>45166</v>
      </c>
      <c r="D144" t="s">
        <v>7</v>
      </c>
      <c r="E144" t="s">
        <v>94</v>
      </c>
      <c r="F144" t="s">
        <v>28</v>
      </c>
      <c r="G144" s="1">
        <v>2.5</v>
      </c>
      <c r="H144" s="1">
        <v>1</v>
      </c>
      <c r="I144" t="s">
        <v>32</v>
      </c>
      <c r="J144" s="1">
        <v>9</v>
      </c>
      <c r="K144" s="1">
        <v>75</v>
      </c>
      <c r="L144" s="1">
        <v>2</v>
      </c>
      <c r="M144" s="1">
        <v>2</v>
      </c>
      <c r="N144" s="1">
        <v>1218</v>
      </c>
      <c r="O144" s="1">
        <v>1321</v>
      </c>
      <c r="P144" s="1">
        <v>0</v>
      </c>
      <c r="Q144" s="1">
        <v>1</v>
      </c>
      <c r="R144" s="1">
        <v>7</v>
      </c>
      <c r="S144" s="1">
        <v>7</v>
      </c>
    </row>
    <row r="145" spans="1:19" x14ac:dyDescent="0.2">
      <c r="A145" s="1">
        <v>1105361</v>
      </c>
      <c r="B145" t="s">
        <v>6</v>
      </c>
      <c r="C145" s="1">
        <v>45141</v>
      </c>
      <c r="D145" t="s">
        <v>20</v>
      </c>
      <c r="E145" t="s">
        <v>95</v>
      </c>
      <c r="F145" t="s">
        <v>22</v>
      </c>
      <c r="G145" s="1">
        <v>3</v>
      </c>
      <c r="H145" s="1">
        <v>0.8</v>
      </c>
      <c r="I145" t="s">
        <v>34</v>
      </c>
      <c r="J145" s="1">
        <v>1</v>
      </c>
      <c r="K145" s="1">
        <v>0</v>
      </c>
      <c r="L145" s="1">
        <v>0</v>
      </c>
      <c r="M145" s="1">
        <v>0</v>
      </c>
      <c r="N145" s="1">
        <v>69</v>
      </c>
      <c r="O145" s="1">
        <v>70</v>
      </c>
      <c r="P145" s="1">
        <v>0</v>
      </c>
      <c r="Q145" s="1">
        <v>0</v>
      </c>
      <c r="R145" s="1">
        <v>0</v>
      </c>
      <c r="S145" s="1">
        <v>0</v>
      </c>
    </row>
    <row r="146" spans="1:19" x14ac:dyDescent="0.2">
      <c r="A146" s="1">
        <v>1107211</v>
      </c>
      <c r="B146" t="s">
        <v>24</v>
      </c>
      <c r="C146" s="1">
        <v>45168</v>
      </c>
      <c r="D146" t="s">
        <v>20</v>
      </c>
      <c r="E146" t="s">
        <v>96</v>
      </c>
      <c r="F146" t="s">
        <v>9</v>
      </c>
      <c r="G146" s="1">
        <v>3.5</v>
      </c>
      <c r="H146" s="1">
        <v>0.9</v>
      </c>
      <c r="I146" t="s">
        <v>10</v>
      </c>
      <c r="J146" s="1">
        <v>0</v>
      </c>
      <c r="K146" s="1">
        <v>6</v>
      </c>
      <c r="L146" s="1">
        <v>0</v>
      </c>
      <c r="M146" s="1">
        <v>0</v>
      </c>
      <c r="N146" s="1">
        <v>171</v>
      </c>
      <c r="O146" s="1">
        <v>186</v>
      </c>
      <c r="P146" s="1">
        <v>3</v>
      </c>
      <c r="Q146" s="1">
        <v>0</v>
      </c>
      <c r="R146" s="1">
        <v>2</v>
      </c>
      <c r="S146" s="1">
        <v>4</v>
      </c>
    </row>
    <row r="147" spans="1:19" x14ac:dyDescent="0.2">
      <c r="A147" s="1">
        <v>110982</v>
      </c>
      <c r="B147" t="s">
        <v>26</v>
      </c>
      <c r="C147" s="1">
        <v>45160</v>
      </c>
      <c r="D147" t="s">
        <v>15</v>
      </c>
      <c r="E147" t="s">
        <v>88</v>
      </c>
      <c r="F147" t="s">
        <v>13</v>
      </c>
      <c r="G147" s="1">
        <v>3</v>
      </c>
      <c r="H147" s="1">
        <v>1.2</v>
      </c>
      <c r="I147" t="s">
        <v>14</v>
      </c>
      <c r="J147" s="1">
        <v>56</v>
      </c>
      <c r="K147" s="1">
        <v>45</v>
      </c>
      <c r="L147" s="1">
        <v>0</v>
      </c>
      <c r="M147" s="1">
        <v>15</v>
      </c>
      <c r="N147" s="1">
        <v>789</v>
      </c>
      <c r="O147" s="1">
        <v>912</v>
      </c>
      <c r="P147" s="1">
        <v>0</v>
      </c>
      <c r="Q147" s="1">
        <v>0</v>
      </c>
      <c r="R147" s="1">
        <v>1</v>
      </c>
      <c r="S147" s="1">
        <v>6</v>
      </c>
    </row>
    <row r="148" spans="1:19" x14ac:dyDescent="0.2">
      <c r="A148" s="1">
        <v>111175</v>
      </c>
      <c r="B148" t="s">
        <v>31</v>
      </c>
      <c r="C148" s="1">
        <v>45145</v>
      </c>
      <c r="D148" t="s">
        <v>15</v>
      </c>
      <c r="E148" t="s">
        <v>83</v>
      </c>
      <c r="F148" t="s">
        <v>13</v>
      </c>
      <c r="G148" s="1">
        <v>2.9</v>
      </c>
      <c r="H148" s="1">
        <v>1.1000000000000001</v>
      </c>
      <c r="I148" t="s">
        <v>32</v>
      </c>
      <c r="J148" s="1">
        <v>6</v>
      </c>
      <c r="K148" s="1">
        <v>11</v>
      </c>
      <c r="L148" s="1">
        <v>0</v>
      </c>
      <c r="M148" s="1">
        <v>2</v>
      </c>
      <c r="N148" s="1">
        <v>1597</v>
      </c>
      <c r="O148" s="1">
        <v>1618</v>
      </c>
      <c r="P148" s="1">
        <v>1</v>
      </c>
      <c r="Q148" s="1">
        <v>1</v>
      </c>
      <c r="R148" s="1">
        <v>0</v>
      </c>
      <c r="S148" s="1">
        <v>0</v>
      </c>
    </row>
    <row r="149" spans="1:19" x14ac:dyDescent="0.2">
      <c r="A149" s="1">
        <v>111257</v>
      </c>
      <c r="B149" t="s">
        <v>40</v>
      </c>
      <c r="C149" s="1">
        <v>45138</v>
      </c>
      <c r="D149" t="s">
        <v>15</v>
      </c>
      <c r="E149" t="s">
        <v>97</v>
      </c>
      <c r="F149" t="s">
        <v>13</v>
      </c>
      <c r="G149" s="1">
        <v>3.2</v>
      </c>
      <c r="H149" s="1">
        <v>1</v>
      </c>
      <c r="I149" t="s">
        <v>41</v>
      </c>
      <c r="J149" s="1">
        <v>6</v>
      </c>
      <c r="K149" s="1">
        <v>20</v>
      </c>
      <c r="L149" s="1">
        <v>343</v>
      </c>
      <c r="M149" s="1">
        <v>86</v>
      </c>
      <c r="N149" s="1">
        <v>558</v>
      </c>
      <c r="O149" s="1">
        <v>1036</v>
      </c>
      <c r="P149" s="1">
        <v>0</v>
      </c>
      <c r="Q149" s="1">
        <v>0</v>
      </c>
      <c r="R149" s="1">
        <v>3</v>
      </c>
      <c r="S149" s="1">
        <v>20</v>
      </c>
    </row>
    <row r="150" spans="1:19" x14ac:dyDescent="0.2">
      <c r="A150" s="1">
        <v>111323</v>
      </c>
      <c r="B150" t="s">
        <v>40</v>
      </c>
      <c r="C150" s="1">
        <v>45138</v>
      </c>
      <c r="D150" t="s">
        <v>15</v>
      </c>
      <c r="E150" t="s">
        <v>98</v>
      </c>
      <c r="F150" t="s">
        <v>13</v>
      </c>
      <c r="G150" s="1">
        <v>3</v>
      </c>
      <c r="H150" s="1">
        <v>1.1000000000000001</v>
      </c>
      <c r="I150" t="s">
        <v>14</v>
      </c>
      <c r="J150" s="1">
        <v>31</v>
      </c>
      <c r="K150" s="1">
        <v>0</v>
      </c>
      <c r="L150" s="1">
        <v>1</v>
      </c>
      <c r="M150" s="1">
        <v>1</v>
      </c>
      <c r="N150" s="1">
        <v>1101</v>
      </c>
      <c r="O150" s="1">
        <v>1135</v>
      </c>
      <c r="P150" s="1">
        <v>0</v>
      </c>
      <c r="Q150" s="1">
        <v>0</v>
      </c>
      <c r="R150" s="1">
        <v>0</v>
      </c>
      <c r="S150" s="1">
        <v>1</v>
      </c>
    </row>
    <row r="151" spans="1:19" x14ac:dyDescent="0.2">
      <c r="A151" s="1">
        <v>111344</v>
      </c>
      <c r="B151" t="s">
        <v>40</v>
      </c>
      <c r="C151" s="1">
        <v>45138</v>
      </c>
      <c r="D151" t="s">
        <v>15</v>
      </c>
      <c r="E151" t="s">
        <v>99</v>
      </c>
      <c r="F151" t="s">
        <v>13</v>
      </c>
      <c r="G151" s="1">
        <v>2.5</v>
      </c>
      <c r="H151" s="1">
        <v>1.5</v>
      </c>
      <c r="I151" t="s">
        <v>41</v>
      </c>
      <c r="J151" s="1">
        <v>4</v>
      </c>
      <c r="K151" s="1">
        <v>28</v>
      </c>
      <c r="L151" s="1">
        <v>4</v>
      </c>
      <c r="M151" s="1">
        <v>3</v>
      </c>
      <c r="N151" s="1">
        <v>941</v>
      </c>
      <c r="O151" s="1">
        <v>983</v>
      </c>
      <c r="P151" s="1">
        <v>0</v>
      </c>
      <c r="Q151" s="1">
        <v>1</v>
      </c>
      <c r="R151" s="1">
        <v>0</v>
      </c>
      <c r="S151" s="1">
        <v>2</v>
      </c>
    </row>
    <row r="152" spans="1:19" x14ac:dyDescent="0.2">
      <c r="A152" s="1">
        <v>111393</v>
      </c>
      <c r="B152" t="s">
        <v>31</v>
      </c>
      <c r="C152" s="1">
        <v>45134</v>
      </c>
      <c r="D152" t="s">
        <v>15</v>
      </c>
      <c r="E152" t="s">
        <v>54</v>
      </c>
      <c r="F152" t="s">
        <v>13</v>
      </c>
      <c r="G152" s="1">
        <v>2.7</v>
      </c>
      <c r="H152" s="1">
        <v>1</v>
      </c>
      <c r="I152" t="s">
        <v>32</v>
      </c>
      <c r="J152" s="1">
        <v>5</v>
      </c>
      <c r="K152" s="1">
        <v>17</v>
      </c>
      <c r="L152" s="1">
        <v>0</v>
      </c>
      <c r="M152" s="1">
        <v>9</v>
      </c>
      <c r="N152" s="1">
        <v>1319</v>
      </c>
      <c r="O152" s="1">
        <v>1350</v>
      </c>
      <c r="P152" s="1">
        <v>0</v>
      </c>
      <c r="Q152" s="1">
        <v>0</v>
      </c>
      <c r="R152" s="1">
        <v>0</v>
      </c>
      <c r="S152" s="1">
        <v>0</v>
      </c>
    </row>
    <row r="153" spans="1:19" x14ac:dyDescent="0.2">
      <c r="A153" s="1">
        <v>111599</v>
      </c>
      <c r="B153" t="s">
        <v>17</v>
      </c>
      <c r="C153" s="1">
        <v>45170</v>
      </c>
      <c r="D153" t="s">
        <v>7</v>
      </c>
      <c r="E153" t="s">
        <v>73</v>
      </c>
      <c r="F153" t="s">
        <v>100</v>
      </c>
      <c r="G153" s="1">
        <v>2.8</v>
      </c>
      <c r="H153" s="1">
        <v>1</v>
      </c>
      <c r="I153" t="s">
        <v>18</v>
      </c>
      <c r="J153" s="1">
        <v>3</v>
      </c>
      <c r="K153" s="1">
        <v>31</v>
      </c>
      <c r="L153" s="1">
        <v>34</v>
      </c>
      <c r="M153" s="1">
        <v>0</v>
      </c>
      <c r="N153" s="1">
        <v>1056</v>
      </c>
      <c r="O153" s="1">
        <v>1132</v>
      </c>
      <c r="P153" s="1">
        <v>7</v>
      </c>
      <c r="Q153" s="1">
        <v>1</v>
      </c>
      <c r="R153" s="1">
        <v>0</v>
      </c>
      <c r="S153" s="1">
        <v>0</v>
      </c>
    </row>
    <row r="154" spans="1:19" x14ac:dyDescent="0.2">
      <c r="A154" s="1">
        <v>1116724</v>
      </c>
      <c r="B154" t="s">
        <v>6</v>
      </c>
      <c r="C154" s="1">
        <v>45141</v>
      </c>
      <c r="D154" t="s">
        <v>20</v>
      </c>
      <c r="E154" t="s">
        <v>95</v>
      </c>
      <c r="F154" t="s">
        <v>25</v>
      </c>
      <c r="G154" s="1">
        <v>3</v>
      </c>
      <c r="H154" s="1">
        <v>1</v>
      </c>
      <c r="I154" t="s">
        <v>34</v>
      </c>
      <c r="J154" s="1">
        <v>60</v>
      </c>
      <c r="K154" s="1">
        <v>1</v>
      </c>
      <c r="L154" s="1">
        <v>0</v>
      </c>
      <c r="M154" s="1">
        <v>1</v>
      </c>
      <c r="N154" s="1">
        <v>838</v>
      </c>
      <c r="O154" s="1">
        <v>900</v>
      </c>
      <c r="P154" s="1">
        <v>0</v>
      </c>
      <c r="Q154" s="1">
        <v>0</v>
      </c>
      <c r="R154" s="1">
        <v>0</v>
      </c>
      <c r="S154" s="1">
        <v>0</v>
      </c>
    </row>
    <row r="155" spans="1:19" x14ac:dyDescent="0.2">
      <c r="A155" s="1">
        <v>1117110</v>
      </c>
      <c r="B155" t="s">
        <v>6</v>
      </c>
      <c r="C155" s="1">
        <v>45141</v>
      </c>
      <c r="D155" t="s">
        <v>20</v>
      </c>
      <c r="E155" t="s">
        <v>95</v>
      </c>
      <c r="F155" t="s">
        <v>22</v>
      </c>
      <c r="G155" s="1">
        <v>3</v>
      </c>
      <c r="H155" s="1">
        <v>0.8</v>
      </c>
      <c r="I155" t="s">
        <v>41</v>
      </c>
      <c r="J155" s="1">
        <v>6</v>
      </c>
      <c r="K155" s="1">
        <v>0</v>
      </c>
      <c r="L155" s="1">
        <v>0</v>
      </c>
      <c r="M155" s="1">
        <v>10</v>
      </c>
      <c r="N155" s="1">
        <v>116</v>
      </c>
      <c r="O155" s="1">
        <v>132</v>
      </c>
      <c r="P155" s="1">
        <v>0</v>
      </c>
      <c r="Q155" s="1">
        <v>0</v>
      </c>
      <c r="R155" s="1">
        <v>0</v>
      </c>
      <c r="S155" s="1">
        <v>0</v>
      </c>
    </row>
    <row r="156" spans="1:19" x14ac:dyDescent="0.2">
      <c r="A156" s="1">
        <v>111738</v>
      </c>
      <c r="B156" t="s">
        <v>6</v>
      </c>
      <c r="C156" s="1">
        <v>45174</v>
      </c>
      <c r="D156" t="s">
        <v>7</v>
      </c>
      <c r="E156" t="s">
        <v>8</v>
      </c>
      <c r="F156" t="s">
        <v>101</v>
      </c>
      <c r="G156" s="1">
        <v>3.8</v>
      </c>
      <c r="H156" s="1">
        <v>0.8</v>
      </c>
      <c r="I156" t="s">
        <v>10</v>
      </c>
      <c r="J156" s="1">
        <v>0</v>
      </c>
      <c r="K156" s="1">
        <v>40</v>
      </c>
      <c r="L156" s="1">
        <v>7</v>
      </c>
      <c r="M156" s="1">
        <v>0</v>
      </c>
      <c r="N156" s="1">
        <v>427</v>
      </c>
      <c r="O156" s="1">
        <v>475</v>
      </c>
      <c r="P156" s="1">
        <v>0</v>
      </c>
      <c r="Q156" s="1">
        <v>1</v>
      </c>
      <c r="R156" s="1">
        <v>0</v>
      </c>
      <c r="S156" s="1">
        <v>0</v>
      </c>
    </row>
    <row r="157" spans="1:19" x14ac:dyDescent="0.2">
      <c r="A157" s="1">
        <v>111750</v>
      </c>
      <c r="B157" t="s">
        <v>6</v>
      </c>
      <c r="C157" s="1">
        <v>45173</v>
      </c>
      <c r="D157" t="s">
        <v>7</v>
      </c>
      <c r="E157" t="s">
        <v>8</v>
      </c>
      <c r="F157" t="s">
        <v>30</v>
      </c>
      <c r="G157" s="1">
        <v>2.4500000000000002</v>
      </c>
      <c r="H157" s="1">
        <v>0.95</v>
      </c>
      <c r="I157" t="s">
        <v>32</v>
      </c>
      <c r="J157" s="1">
        <v>3</v>
      </c>
      <c r="K157" s="1">
        <v>4</v>
      </c>
      <c r="L157" s="1">
        <v>1</v>
      </c>
      <c r="M157" s="1">
        <v>34</v>
      </c>
      <c r="N157" s="1">
        <v>1438</v>
      </c>
      <c r="O157" s="1">
        <v>1483</v>
      </c>
      <c r="P157" s="1">
        <v>0</v>
      </c>
      <c r="Q157" s="1">
        <v>0</v>
      </c>
      <c r="R157" s="1">
        <v>3</v>
      </c>
      <c r="S157" s="1">
        <v>0</v>
      </c>
    </row>
    <row r="158" spans="1:19" x14ac:dyDescent="0.2">
      <c r="A158" s="1">
        <v>111811</v>
      </c>
      <c r="B158" t="s">
        <v>31</v>
      </c>
      <c r="C158" s="1">
        <v>45145</v>
      </c>
      <c r="D158" t="s">
        <v>15</v>
      </c>
      <c r="E158" t="s">
        <v>42</v>
      </c>
      <c r="F158" t="s">
        <v>93</v>
      </c>
      <c r="G158" s="1">
        <v>2.5</v>
      </c>
      <c r="H158" s="1">
        <v>0.8</v>
      </c>
      <c r="I158" t="s">
        <v>32</v>
      </c>
      <c r="J158" s="1">
        <v>9</v>
      </c>
      <c r="K158" s="1">
        <v>77</v>
      </c>
      <c r="L158" s="1">
        <v>16</v>
      </c>
      <c r="M158" s="1">
        <v>9</v>
      </c>
      <c r="N158" s="1">
        <v>1639</v>
      </c>
      <c r="O158" s="1">
        <v>1750</v>
      </c>
      <c r="P158" s="1">
        <v>0</v>
      </c>
      <c r="Q158" s="1">
        <v>0</v>
      </c>
      <c r="R158" s="1">
        <v>0</v>
      </c>
      <c r="S158" s="1">
        <v>0</v>
      </c>
    </row>
    <row r="159" spans="1:19" x14ac:dyDescent="0.2">
      <c r="A159" s="1">
        <v>1118257</v>
      </c>
      <c r="B159" t="s">
        <v>38</v>
      </c>
      <c r="C159" s="1">
        <v>45163</v>
      </c>
      <c r="D159" t="s">
        <v>15</v>
      </c>
      <c r="E159" t="s">
        <v>39</v>
      </c>
      <c r="F159" t="s">
        <v>93</v>
      </c>
      <c r="G159" s="1">
        <v>2.75</v>
      </c>
      <c r="H159" s="1">
        <v>1.25</v>
      </c>
      <c r="I159" t="s">
        <v>14</v>
      </c>
      <c r="J159" s="1">
        <v>2</v>
      </c>
      <c r="K159" s="1">
        <v>2</v>
      </c>
      <c r="L159" s="1">
        <v>0</v>
      </c>
      <c r="M159" s="1">
        <v>0</v>
      </c>
      <c r="N159" s="1">
        <v>865</v>
      </c>
      <c r="O159" s="1">
        <v>870</v>
      </c>
      <c r="P159" s="1">
        <v>0</v>
      </c>
      <c r="Q159" s="1">
        <v>0</v>
      </c>
      <c r="R159" s="1">
        <v>0</v>
      </c>
      <c r="S159" s="1">
        <v>1</v>
      </c>
    </row>
    <row r="160" spans="1:19" x14ac:dyDescent="0.2">
      <c r="A160" s="1">
        <v>1122262</v>
      </c>
      <c r="B160" t="s">
        <v>17</v>
      </c>
      <c r="C160" s="1">
        <v>45142</v>
      </c>
      <c r="D160" t="s">
        <v>7</v>
      </c>
      <c r="E160" t="s">
        <v>102</v>
      </c>
      <c r="F160" t="s">
        <v>13</v>
      </c>
      <c r="G160" s="1">
        <v>2.7</v>
      </c>
      <c r="H160" s="1">
        <v>1.1000000000000001</v>
      </c>
      <c r="I160" t="s">
        <v>18</v>
      </c>
      <c r="J160" s="1">
        <v>3</v>
      </c>
      <c r="K160" s="1">
        <v>24</v>
      </c>
      <c r="L160" s="1">
        <v>4</v>
      </c>
      <c r="M160" s="1">
        <v>1</v>
      </c>
      <c r="N160" s="1">
        <v>955</v>
      </c>
      <c r="O160" s="1">
        <v>999</v>
      </c>
      <c r="P160" s="1">
        <v>10</v>
      </c>
      <c r="Q160" s="1">
        <v>0</v>
      </c>
      <c r="R160" s="1">
        <v>0</v>
      </c>
      <c r="S160" s="1">
        <v>2</v>
      </c>
    </row>
    <row r="161" spans="1:19" x14ac:dyDescent="0.2">
      <c r="A161" s="1">
        <v>1122960</v>
      </c>
      <c r="B161" t="s">
        <v>26</v>
      </c>
      <c r="C161" s="1">
        <v>45161</v>
      </c>
      <c r="D161" t="s">
        <v>15</v>
      </c>
      <c r="E161" t="s">
        <v>103</v>
      </c>
      <c r="F161" t="s">
        <v>13</v>
      </c>
      <c r="G161" s="1">
        <v>3</v>
      </c>
      <c r="H161" s="1">
        <v>1.1599999999999999</v>
      </c>
      <c r="I161" t="s">
        <v>14</v>
      </c>
      <c r="J161" s="1">
        <v>0</v>
      </c>
      <c r="K161" s="1">
        <v>17</v>
      </c>
      <c r="L161" s="1">
        <v>0</v>
      </c>
      <c r="M161" s="1">
        <v>1</v>
      </c>
      <c r="N161" s="1">
        <v>953</v>
      </c>
      <c r="O161" s="1">
        <v>979</v>
      </c>
      <c r="P161" s="1">
        <v>0</v>
      </c>
      <c r="Q161" s="1">
        <v>1</v>
      </c>
      <c r="R161" s="1">
        <v>1</v>
      </c>
      <c r="S161" s="1">
        <v>6</v>
      </c>
    </row>
    <row r="162" spans="1:19" x14ac:dyDescent="0.2">
      <c r="A162" s="1">
        <v>1124610</v>
      </c>
      <c r="B162" t="s">
        <v>35</v>
      </c>
      <c r="C162" s="1">
        <v>45140</v>
      </c>
      <c r="D162" t="s">
        <v>44</v>
      </c>
      <c r="E162" t="s">
        <v>104</v>
      </c>
      <c r="F162" t="s">
        <v>93</v>
      </c>
      <c r="G162" s="1">
        <v>2.5</v>
      </c>
      <c r="H162" s="1">
        <v>0.75</v>
      </c>
      <c r="I162" t="s">
        <v>18</v>
      </c>
      <c r="J162" s="1">
        <v>21</v>
      </c>
      <c r="K162" s="1">
        <v>0</v>
      </c>
      <c r="L162" s="1">
        <v>0</v>
      </c>
      <c r="M162" s="1">
        <v>0</v>
      </c>
      <c r="N162" s="1">
        <v>1709</v>
      </c>
      <c r="O162" s="1">
        <v>1730</v>
      </c>
      <c r="P162" s="1">
        <v>0</v>
      </c>
      <c r="Q162" s="1">
        <v>0</v>
      </c>
      <c r="R162" s="1">
        <v>0</v>
      </c>
      <c r="S162" s="1">
        <v>0</v>
      </c>
    </row>
    <row r="163" spans="1:19" x14ac:dyDescent="0.2">
      <c r="A163" s="1">
        <v>112473</v>
      </c>
      <c r="B163" t="s">
        <v>40</v>
      </c>
      <c r="C163" s="1">
        <v>45138</v>
      </c>
      <c r="D163" t="s">
        <v>15</v>
      </c>
      <c r="E163" t="s">
        <v>99</v>
      </c>
      <c r="F163" t="s">
        <v>13</v>
      </c>
      <c r="G163" s="1">
        <v>3</v>
      </c>
      <c r="H163" s="1">
        <v>1</v>
      </c>
      <c r="I163" t="s">
        <v>41</v>
      </c>
      <c r="J163" s="1">
        <v>1</v>
      </c>
      <c r="K163" s="1">
        <v>79</v>
      </c>
      <c r="L163" s="1">
        <v>0</v>
      </c>
      <c r="M163" s="1">
        <v>1</v>
      </c>
      <c r="N163" s="1">
        <v>900</v>
      </c>
      <c r="O163" s="1">
        <v>1003</v>
      </c>
      <c r="P163" s="1">
        <v>0</v>
      </c>
      <c r="Q163" s="1">
        <v>1</v>
      </c>
      <c r="R163" s="1">
        <v>3</v>
      </c>
      <c r="S163" s="1">
        <v>18</v>
      </c>
    </row>
    <row r="164" spans="1:19" x14ac:dyDescent="0.2">
      <c r="A164" s="1">
        <v>1125193</v>
      </c>
      <c r="B164" t="s">
        <v>24</v>
      </c>
      <c r="C164" s="1">
        <v>45164</v>
      </c>
      <c r="D164" t="s">
        <v>20</v>
      </c>
      <c r="E164" t="s">
        <v>96</v>
      </c>
      <c r="F164" t="s">
        <v>27</v>
      </c>
      <c r="G164" s="1">
        <v>2.5</v>
      </c>
      <c r="H164" s="1">
        <v>0.9</v>
      </c>
      <c r="I164" t="s">
        <v>18</v>
      </c>
      <c r="J164" s="1">
        <v>3</v>
      </c>
      <c r="K164" s="1">
        <v>4</v>
      </c>
      <c r="L164" s="1">
        <v>0</v>
      </c>
      <c r="M164" s="1">
        <v>0</v>
      </c>
      <c r="N164" s="1">
        <v>1714</v>
      </c>
      <c r="O164" s="1">
        <v>1722</v>
      </c>
      <c r="P164" s="1">
        <v>0</v>
      </c>
      <c r="Q164" s="1">
        <v>0</v>
      </c>
      <c r="R164" s="1">
        <v>0</v>
      </c>
      <c r="S164" s="1">
        <v>1</v>
      </c>
    </row>
    <row r="165" spans="1:19" x14ac:dyDescent="0.2">
      <c r="A165" s="1">
        <v>112531</v>
      </c>
      <c r="B165" t="s">
        <v>26</v>
      </c>
      <c r="C165" s="1">
        <v>45163</v>
      </c>
      <c r="D165" t="s">
        <v>15</v>
      </c>
      <c r="E165" t="s">
        <v>63</v>
      </c>
      <c r="F165" t="s">
        <v>13</v>
      </c>
      <c r="G165" s="1">
        <v>2.5499999999999998</v>
      </c>
      <c r="H165" s="1">
        <v>1.5</v>
      </c>
      <c r="I165" t="s">
        <v>14</v>
      </c>
      <c r="J165" s="1">
        <v>0</v>
      </c>
      <c r="K165" s="1">
        <v>136</v>
      </c>
      <c r="L165" s="1">
        <v>0</v>
      </c>
      <c r="M165" s="1">
        <v>0</v>
      </c>
      <c r="N165" s="1">
        <v>358</v>
      </c>
      <c r="O165" s="1">
        <v>494</v>
      </c>
      <c r="P165" s="1">
        <v>0</v>
      </c>
      <c r="Q165" s="1">
        <v>0</v>
      </c>
      <c r="R165" s="1">
        <v>0</v>
      </c>
      <c r="S165" s="1">
        <v>0</v>
      </c>
    </row>
    <row r="166" spans="1:19" x14ac:dyDescent="0.2">
      <c r="A166" s="1">
        <v>1126851</v>
      </c>
      <c r="B166" t="s">
        <v>11</v>
      </c>
      <c r="C166" s="1">
        <v>45133</v>
      </c>
      <c r="D166" t="s">
        <v>15</v>
      </c>
      <c r="E166" t="s">
        <v>16</v>
      </c>
      <c r="F166" t="s">
        <v>13</v>
      </c>
      <c r="G166" s="1">
        <v>2.8</v>
      </c>
      <c r="H166" s="1">
        <v>1.25</v>
      </c>
      <c r="I166" t="s">
        <v>14</v>
      </c>
      <c r="J166" s="1">
        <v>0</v>
      </c>
      <c r="K166" s="1">
        <v>102</v>
      </c>
      <c r="L166" s="1">
        <v>2</v>
      </c>
      <c r="M166" s="1">
        <v>4</v>
      </c>
      <c r="N166" s="1">
        <v>612</v>
      </c>
      <c r="O166" s="1">
        <v>720</v>
      </c>
      <c r="P166" s="1">
        <v>0</v>
      </c>
      <c r="Q166" s="1">
        <v>0</v>
      </c>
      <c r="R166" s="1">
        <v>0</v>
      </c>
      <c r="S166" s="1">
        <v>0</v>
      </c>
    </row>
    <row r="167" spans="1:19" x14ac:dyDescent="0.2">
      <c r="A167" s="1">
        <v>112720</v>
      </c>
      <c r="B167" t="s">
        <v>31</v>
      </c>
      <c r="C167" s="1">
        <v>45160</v>
      </c>
      <c r="D167" t="s">
        <v>15</v>
      </c>
      <c r="E167" t="s">
        <v>53</v>
      </c>
      <c r="F167" t="s">
        <v>13</v>
      </c>
      <c r="G167" s="1">
        <v>2.8</v>
      </c>
      <c r="H167" s="1">
        <v>1.2</v>
      </c>
      <c r="I167" t="s">
        <v>14</v>
      </c>
      <c r="J167" s="1">
        <v>0</v>
      </c>
      <c r="K167" s="1">
        <v>3</v>
      </c>
      <c r="L167" s="1">
        <v>0</v>
      </c>
      <c r="M167" s="1">
        <v>0</v>
      </c>
      <c r="N167" s="1">
        <v>847</v>
      </c>
      <c r="O167" s="1">
        <v>850</v>
      </c>
      <c r="P167" s="1">
        <v>0</v>
      </c>
      <c r="Q167" s="1">
        <v>0</v>
      </c>
      <c r="R167" s="1">
        <v>0</v>
      </c>
      <c r="S167" s="1">
        <v>0</v>
      </c>
    </row>
    <row r="168" spans="1:19" x14ac:dyDescent="0.2">
      <c r="A168" s="1">
        <v>1127713</v>
      </c>
      <c r="B168" t="s">
        <v>24</v>
      </c>
      <c r="C168" s="1">
        <v>45170</v>
      </c>
      <c r="D168" t="s">
        <v>20</v>
      </c>
      <c r="E168" t="s">
        <v>96</v>
      </c>
      <c r="F168" t="s">
        <v>25</v>
      </c>
      <c r="G168" s="1">
        <v>2.2999999999999998</v>
      </c>
      <c r="H168" s="1">
        <v>0.8</v>
      </c>
      <c r="I168" t="s">
        <v>18</v>
      </c>
      <c r="J168" s="1">
        <v>1</v>
      </c>
      <c r="K168" s="1">
        <v>16</v>
      </c>
      <c r="L168" s="1">
        <v>0</v>
      </c>
      <c r="M168" s="1">
        <v>0</v>
      </c>
      <c r="N168" s="1">
        <v>1145</v>
      </c>
      <c r="O168" s="1">
        <v>1170</v>
      </c>
      <c r="P168" s="1">
        <v>8</v>
      </c>
      <c r="Q168" s="1">
        <v>0</v>
      </c>
      <c r="R168" s="1">
        <v>0</v>
      </c>
      <c r="S168" s="1">
        <v>0</v>
      </c>
    </row>
    <row r="169" spans="1:19" x14ac:dyDescent="0.2">
      <c r="A169" s="1">
        <v>1135828</v>
      </c>
      <c r="B169" t="s">
        <v>31</v>
      </c>
      <c r="C169" s="1">
        <v>45163</v>
      </c>
      <c r="D169" t="s">
        <v>15</v>
      </c>
      <c r="E169" t="s">
        <v>57</v>
      </c>
      <c r="F169" t="s">
        <v>13</v>
      </c>
      <c r="G169" s="1">
        <v>2.88</v>
      </c>
      <c r="H169" s="1">
        <v>1.2</v>
      </c>
      <c r="I169" t="s">
        <v>14</v>
      </c>
      <c r="J169" s="1">
        <v>0</v>
      </c>
      <c r="K169" s="1">
        <v>1</v>
      </c>
      <c r="L169" s="1">
        <v>0</v>
      </c>
      <c r="M169" s="1">
        <v>0</v>
      </c>
      <c r="N169" s="1">
        <v>879</v>
      </c>
      <c r="O169" s="1">
        <v>880</v>
      </c>
      <c r="P169" s="1">
        <v>0</v>
      </c>
      <c r="Q169" s="1">
        <v>0</v>
      </c>
      <c r="R169" s="1">
        <v>0</v>
      </c>
      <c r="S169" s="1">
        <v>0</v>
      </c>
    </row>
    <row r="170" spans="1:19" x14ac:dyDescent="0.2">
      <c r="A170" s="1">
        <v>1139115</v>
      </c>
      <c r="B170" t="s">
        <v>19</v>
      </c>
      <c r="C170" s="1">
        <v>45206</v>
      </c>
      <c r="D170" t="s">
        <v>20</v>
      </c>
      <c r="E170" t="s">
        <v>68</v>
      </c>
      <c r="F170" t="s">
        <v>105</v>
      </c>
      <c r="G170" s="1">
        <v>3.4</v>
      </c>
      <c r="H170" s="1">
        <v>0.8</v>
      </c>
      <c r="I170" t="s">
        <v>10</v>
      </c>
      <c r="J170" s="1">
        <v>0</v>
      </c>
      <c r="K170" s="1">
        <v>3</v>
      </c>
      <c r="L170" s="1">
        <v>0</v>
      </c>
      <c r="M170" s="1">
        <v>0</v>
      </c>
      <c r="N170" s="1">
        <v>1251</v>
      </c>
      <c r="O170" s="1">
        <v>1257</v>
      </c>
      <c r="P170" s="1">
        <v>0</v>
      </c>
      <c r="Q170" s="1">
        <v>0</v>
      </c>
      <c r="R170" s="1">
        <v>1</v>
      </c>
      <c r="S170" s="1">
        <v>2</v>
      </c>
    </row>
    <row r="171" spans="1:19" x14ac:dyDescent="0.2">
      <c r="A171" s="1">
        <v>114070</v>
      </c>
      <c r="B171" t="s">
        <v>106</v>
      </c>
      <c r="C171" s="1">
        <v>45133</v>
      </c>
      <c r="D171" t="s">
        <v>20</v>
      </c>
      <c r="E171" t="s">
        <v>46</v>
      </c>
      <c r="F171" t="s">
        <v>25</v>
      </c>
      <c r="G171" s="1">
        <v>3</v>
      </c>
      <c r="H171" s="1">
        <v>0.8</v>
      </c>
      <c r="I171" t="s">
        <v>41</v>
      </c>
      <c r="J171" s="1">
        <v>0</v>
      </c>
      <c r="K171" s="1">
        <v>0</v>
      </c>
      <c r="L171" s="1">
        <v>0</v>
      </c>
      <c r="M171" s="1">
        <v>0</v>
      </c>
      <c r="N171" s="1">
        <v>890</v>
      </c>
      <c r="O171" s="1">
        <v>890</v>
      </c>
      <c r="P171" s="1">
        <v>0</v>
      </c>
      <c r="Q171" s="1">
        <v>0</v>
      </c>
      <c r="R171" s="1">
        <v>0</v>
      </c>
      <c r="S171" s="1">
        <v>0</v>
      </c>
    </row>
    <row r="172" spans="1:19" x14ac:dyDescent="0.2">
      <c r="A172" s="1">
        <v>1140914</v>
      </c>
      <c r="B172" t="s">
        <v>19</v>
      </c>
      <c r="C172" s="1">
        <v>45213</v>
      </c>
      <c r="D172" t="s">
        <v>20</v>
      </c>
      <c r="E172" t="s">
        <v>81</v>
      </c>
      <c r="F172" t="s">
        <v>25</v>
      </c>
      <c r="G172" s="1">
        <v>4</v>
      </c>
      <c r="H172" s="1">
        <v>1</v>
      </c>
      <c r="I172" t="s">
        <v>10</v>
      </c>
      <c r="J172" s="1">
        <v>10</v>
      </c>
      <c r="K172" s="1">
        <v>65</v>
      </c>
      <c r="L172" s="1">
        <v>0</v>
      </c>
      <c r="M172" s="1">
        <v>2</v>
      </c>
      <c r="N172" s="1">
        <v>674</v>
      </c>
      <c r="O172" s="1">
        <v>753</v>
      </c>
      <c r="P172" s="1">
        <v>0</v>
      </c>
      <c r="Q172" s="1">
        <v>1</v>
      </c>
      <c r="R172" s="1">
        <v>1</v>
      </c>
      <c r="S172" s="1">
        <v>0</v>
      </c>
    </row>
    <row r="173" spans="1:19" x14ac:dyDescent="0.2">
      <c r="A173" s="1">
        <v>1142308</v>
      </c>
      <c r="B173" t="s">
        <v>58</v>
      </c>
      <c r="C173" s="1">
        <v>45168</v>
      </c>
      <c r="D173" t="s">
        <v>20</v>
      </c>
      <c r="E173" t="s">
        <v>46</v>
      </c>
      <c r="F173" t="s">
        <v>25</v>
      </c>
      <c r="G173" s="1">
        <v>3.5</v>
      </c>
      <c r="H173" s="1">
        <v>0.8</v>
      </c>
      <c r="I173" t="s">
        <v>10</v>
      </c>
      <c r="J173" s="1">
        <v>1</v>
      </c>
      <c r="K173" s="1">
        <v>24</v>
      </c>
      <c r="L173" s="1">
        <v>0</v>
      </c>
      <c r="M173" s="1">
        <v>0</v>
      </c>
      <c r="N173" s="1">
        <v>953</v>
      </c>
      <c r="O173" s="1">
        <v>980</v>
      </c>
      <c r="P173" s="1">
        <v>1</v>
      </c>
      <c r="Q173" s="1">
        <v>0</v>
      </c>
      <c r="R173" s="1">
        <v>1</v>
      </c>
      <c r="S173" s="1">
        <v>0</v>
      </c>
    </row>
    <row r="174" spans="1:19" x14ac:dyDescent="0.2">
      <c r="A174" s="1">
        <v>1143150</v>
      </c>
      <c r="B174" t="s">
        <v>6</v>
      </c>
      <c r="C174" s="1">
        <v>45140</v>
      </c>
      <c r="D174" t="s">
        <v>20</v>
      </c>
      <c r="E174" t="s">
        <v>107</v>
      </c>
      <c r="F174" t="s">
        <v>25</v>
      </c>
      <c r="G174" s="1">
        <v>2.8</v>
      </c>
      <c r="H174" s="1">
        <v>1</v>
      </c>
      <c r="I174" t="s">
        <v>18</v>
      </c>
      <c r="J174" s="1">
        <v>21</v>
      </c>
      <c r="K174" s="1">
        <v>0</v>
      </c>
      <c r="L174" s="1">
        <v>21</v>
      </c>
      <c r="M174" s="1">
        <v>1</v>
      </c>
      <c r="N174" s="1">
        <v>557</v>
      </c>
      <c r="O174" s="1">
        <v>600</v>
      </c>
      <c r="P174" s="1">
        <v>0</v>
      </c>
      <c r="Q174" s="1">
        <v>0</v>
      </c>
      <c r="R174" s="1">
        <v>0</v>
      </c>
      <c r="S174" s="1">
        <v>0</v>
      </c>
    </row>
    <row r="175" spans="1:19" x14ac:dyDescent="0.2">
      <c r="A175" s="1">
        <v>1143369</v>
      </c>
      <c r="B175" t="s">
        <v>60</v>
      </c>
      <c r="C175" s="1">
        <v>45161</v>
      </c>
      <c r="D175" t="s">
        <v>20</v>
      </c>
      <c r="E175" t="s">
        <v>81</v>
      </c>
      <c r="F175" t="s">
        <v>22</v>
      </c>
      <c r="G175" s="1">
        <v>5</v>
      </c>
      <c r="H175" s="1">
        <v>1</v>
      </c>
      <c r="I175" t="s">
        <v>10</v>
      </c>
      <c r="J175" s="1">
        <v>5</v>
      </c>
      <c r="K175" s="1">
        <v>70</v>
      </c>
      <c r="L175" s="1">
        <v>0</v>
      </c>
      <c r="M175" s="1">
        <v>0</v>
      </c>
      <c r="N175" s="1">
        <v>240</v>
      </c>
      <c r="O175" s="1">
        <v>315</v>
      </c>
      <c r="P175" s="1">
        <v>0</v>
      </c>
      <c r="Q175" s="1">
        <v>0</v>
      </c>
      <c r="R175" s="1">
        <v>0</v>
      </c>
      <c r="S175" s="1">
        <v>0</v>
      </c>
    </row>
    <row r="176" spans="1:19" x14ac:dyDescent="0.2">
      <c r="A176" s="1">
        <v>1143577</v>
      </c>
      <c r="B176" t="s">
        <v>24</v>
      </c>
      <c r="C176" s="1">
        <v>45163</v>
      </c>
      <c r="D176" t="s">
        <v>20</v>
      </c>
      <c r="E176" t="s">
        <v>96</v>
      </c>
      <c r="F176" t="s">
        <v>22</v>
      </c>
      <c r="G176" s="1">
        <v>3.33</v>
      </c>
      <c r="H176" s="1">
        <v>0.8</v>
      </c>
      <c r="I176" t="s">
        <v>10</v>
      </c>
      <c r="J176" s="1">
        <v>0</v>
      </c>
      <c r="K176" s="1">
        <v>0</v>
      </c>
      <c r="L176" s="1">
        <v>0</v>
      </c>
      <c r="M176" s="1">
        <v>0</v>
      </c>
      <c r="N176" s="1">
        <v>1075</v>
      </c>
      <c r="O176" s="1">
        <v>1120</v>
      </c>
      <c r="P176" s="1">
        <v>39</v>
      </c>
      <c r="Q176" s="1">
        <v>0</v>
      </c>
      <c r="R176" s="1">
        <v>4</v>
      </c>
      <c r="S176" s="1">
        <v>2</v>
      </c>
    </row>
    <row r="177" spans="1:19" x14ac:dyDescent="0.2">
      <c r="A177" s="1">
        <v>1143613</v>
      </c>
      <c r="B177" t="s">
        <v>24</v>
      </c>
      <c r="C177" s="1">
        <v>45163</v>
      </c>
      <c r="D177" t="s">
        <v>20</v>
      </c>
      <c r="E177" t="s">
        <v>96</v>
      </c>
      <c r="F177" t="s">
        <v>22</v>
      </c>
      <c r="G177" s="1">
        <v>3.33</v>
      </c>
      <c r="H177" s="1">
        <v>0.8</v>
      </c>
      <c r="I177" t="s">
        <v>10</v>
      </c>
      <c r="J177" s="1">
        <v>1</v>
      </c>
      <c r="K177" s="1">
        <v>1</v>
      </c>
      <c r="L177" s="1">
        <v>0</v>
      </c>
      <c r="M177" s="1">
        <v>0</v>
      </c>
      <c r="N177" s="1">
        <v>797</v>
      </c>
      <c r="O177" s="1">
        <v>877</v>
      </c>
      <c r="P177" s="1">
        <v>62</v>
      </c>
      <c r="Q177" s="1">
        <v>7</v>
      </c>
      <c r="R177" s="1">
        <v>3</v>
      </c>
      <c r="S177" s="1">
        <v>6</v>
      </c>
    </row>
    <row r="178" spans="1:19" x14ac:dyDescent="0.2">
      <c r="A178" s="1">
        <v>1145650</v>
      </c>
      <c r="B178" t="s">
        <v>31</v>
      </c>
      <c r="C178" s="1">
        <v>45186</v>
      </c>
      <c r="D178" t="s">
        <v>15</v>
      </c>
      <c r="E178" t="s">
        <v>64</v>
      </c>
      <c r="F178" t="s">
        <v>13</v>
      </c>
      <c r="G178" s="1">
        <v>2.66</v>
      </c>
      <c r="H178" s="1">
        <v>1.33</v>
      </c>
      <c r="I178" t="s">
        <v>14</v>
      </c>
      <c r="J178" s="1">
        <v>0</v>
      </c>
      <c r="K178" s="1">
        <v>0</v>
      </c>
      <c r="L178" s="1">
        <v>0</v>
      </c>
      <c r="M178" s="1">
        <v>0</v>
      </c>
      <c r="N178" s="1">
        <v>1199</v>
      </c>
      <c r="O178" s="1">
        <v>1200</v>
      </c>
      <c r="P178" s="1">
        <v>0</v>
      </c>
      <c r="Q178" s="1">
        <v>0</v>
      </c>
      <c r="R178" s="1">
        <v>1</v>
      </c>
      <c r="S178" s="1">
        <v>0</v>
      </c>
    </row>
    <row r="179" spans="1:19" x14ac:dyDescent="0.2">
      <c r="A179" s="1">
        <v>1146477</v>
      </c>
      <c r="B179" t="s">
        <v>26</v>
      </c>
      <c r="C179" s="1">
        <v>45159</v>
      </c>
      <c r="D179" t="s">
        <v>15</v>
      </c>
      <c r="E179" t="s">
        <v>108</v>
      </c>
      <c r="F179" t="s">
        <v>13</v>
      </c>
      <c r="G179" s="1">
        <v>2.9</v>
      </c>
      <c r="H179" s="1">
        <v>1.2</v>
      </c>
      <c r="I179" t="s">
        <v>14</v>
      </c>
      <c r="J179" s="1">
        <v>0</v>
      </c>
      <c r="K179" s="1">
        <v>0</v>
      </c>
      <c r="L179" s="1">
        <v>0</v>
      </c>
      <c r="M179" s="1">
        <v>0</v>
      </c>
      <c r="N179" s="1">
        <v>962</v>
      </c>
      <c r="O179" s="1">
        <v>962</v>
      </c>
      <c r="P179" s="1">
        <v>0</v>
      </c>
      <c r="Q179" s="1">
        <v>0</v>
      </c>
      <c r="R179" s="1">
        <v>0</v>
      </c>
      <c r="S179" s="1">
        <v>0</v>
      </c>
    </row>
    <row r="180" spans="1:19" x14ac:dyDescent="0.2">
      <c r="A180" s="1">
        <v>1147181</v>
      </c>
      <c r="B180" t="s">
        <v>26</v>
      </c>
      <c r="C180" s="1">
        <v>45135</v>
      </c>
      <c r="D180" t="s">
        <v>15</v>
      </c>
      <c r="E180" t="s">
        <v>109</v>
      </c>
      <c r="F180" t="s">
        <v>13</v>
      </c>
      <c r="G180" s="1">
        <v>2.8</v>
      </c>
      <c r="H180" s="1">
        <v>1.2</v>
      </c>
      <c r="I180" t="s">
        <v>32</v>
      </c>
      <c r="J180" s="1">
        <v>5</v>
      </c>
      <c r="K180" s="1">
        <v>0</v>
      </c>
      <c r="L180" s="1">
        <v>0</v>
      </c>
      <c r="M180" s="1">
        <v>0</v>
      </c>
      <c r="N180" s="1">
        <v>880</v>
      </c>
      <c r="O180" s="1">
        <v>885</v>
      </c>
      <c r="P180" s="1">
        <v>0</v>
      </c>
      <c r="Q180" s="1">
        <v>0</v>
      </c>
      <c r="R180" s="1">
        <v>0</v>
      </c>
      <c r="S180" s="1">
        <v>0</v>
      </c>
    </row>
    <row r="181" spans="1:19" x14ac:dyDescent="0.2">
      <c r="A181" s="1">
        <v>1147202</v>
      </c>
      <c r="B181" t="s">
        <v>26</v>
      </c>
      <c r="C181" s="1">
        <v>45135</v>
      </c>
      <c r="D181" t="s">
        <v>15</v>
      </c>
      <c r="E181" t="s">
        <v>109</v>
      </c>
      <c r="F181" t="s">
        <v>13</v>
      </c>
      <c r="G181" s="1">
        <v>2.8</v>
      </c>
      <c r="H181" s="1">
        <v>1.2</v>
      </c>
      <c r="I181" t="s">
        <v>32</v>
      </c>
      <c r="J181" s="1">
        <v>3</v>
      </c>
      <c r="K181" s="1">
        <v>0</v>
      </c>
      <c r="L181" s="1">
        <v>0</v>
      </c>
      <c r="M181" s="1">
        <v>0</v>
      </c>
      <c r="N181" s="1">
        <v>925</v>
      </c>
      <c r="O181" s="1">
        <v>930</v>
      </c>
      <c r="P181" s="1">
        <v>0</v>
      </c>
      <c r="Q181" s="1">
        <v>1</v>
      </c>
      <c r="R181" s="1">
        <v>0</v>
      </c>
      <c r="S181" s="1">
        <v>1</v>
      </c>
    </row>
    <row r="182" spans="1:19" x14ac:dyDescent="0.2">
      <c r="A182" s="1">
        <v>1147605</v>
      </c>
      <c r="B182" t="s">
        <v>43</v>
      </c>
      <c r="C182" s="1">
        <v>45153</v>
      </c>
      <c r="D182" t="s">
        <v>44</v>
      </c>
      <c r="E182" t="s">
        <v>110</v>
      </c>
      <c r="F182" t="s">
        <v>13</v>
      </c>
      <c r="G182" s="1">
        <v>2.8</v>
      </c>
      <c r="H182" s="1">
        <v>1.28</v>
      </c>
      <c r="I182" t="s">
        <v>29</v>
      </c>
      <c r="J182" s="1">
        <v>0</v>
      </c>
      <c r="K182" s="1">
        <v>3</v>
      </c>
      <c r="L182" s="1">
        <v>1</v>
      </c>
      <c r="M182" s="1">
        <v>1</v>
      </c>
      <c r="N182" s="1">
        <v>434</v>
      </c>
      <c r="O182" s="1">
        <v>449</v>
      </c>
      <c r="P182" s="1">
        <v>2</v>
      </c>
      <c r="Q182" s="1">
        <v>1</v>
      </c>
      <c r="R182" s="1">
        <v>4</v>
      </c>
      <c r="S182" s="1">
        <v>3</v>
      </c>
    </row>
    <row r="183" spans="1:19" x14ac:dyDescent="0.2">
      <c r="A183" s="1">
        <v>1148135</v>
      </c>
      <c r="B183" t="s">
        <v>43</v>
      </c>
      <c r="C183" s="1">
        <v>45154</v>
      </c>
      <c r="D183" t="s">
        <v>44</v>
      </c>
      <c r="E183" t="s">
        <v>111</v>
      </c>
      <c r="F183" t="s">
        <v>13</v>
      </c>
      <c r="G183" s="1">
        <v>2.9</v>
      </c>
      <c r="H183" s="1">
        <v>1.3</v>
      </c>
      <c r="I183" t="s">
        <v>112</v>
      </c>
      <c r="J183" s="1">
        <v>0</v>
      </c>
      <c r="K183" s="1">
        <v>0</v>
      </c>
      <c r="L183" s="1">
        <v>0</v>
      </c>
      <c r="M183" s="1">
        <v>0</v>
      </c>
      <c r="N183" s="1">
        <v>775</v>
      </c>
      <c r="O183" s="1">
        <v>780</v>
      </c>
      <c r="P183" s="1">
        <v>1</v>
      </c>
      <c r="Q183" s="1">
        <v>2</v>
      </c>
      <c r="R183" s="1">
        <v>0</v>
      </c>
      <c r="S183" s="1">
        <v>2</v>
      </c>
    </row>
    <row r="184" spans="1:19" x14ac:dyDescent="0.2">
      <c r="A184" s="1">
        <v>1148671</v>
      </c>
      <c r="B184" t="s">
        <v>19</v>
      </c>
      <c r="C184" s="1">
        <v>45215</v>
      </c>
      <c r="D184" t="s">
        <v>20</v>
      </c>
      <c r="E184" t="s">
        <v>90</v>
      </c>
      <c r="F184" t="s">
        <v>9</v>
      </c>
      <c r="G184" s="1">
        <v>4</v>
      </c>
      <c r="H184" s="1">
        <v>0.8</v>
      </c>
      <c r="I184" t="s">
        <v>10</v>
      </c>
      <c r="J184" s="1">
        <v>9</v>
      </c>
      <c r="K184" s="1">
        <v>27</v>
      </c>
      <c r="L184" s="1">
        <v>1</v>
      </c>
      <c r="M184" s="1">
        <v>1</v>
      </c>
      <c r="N184" s="1">
        <v>1038</v>
      </c>
      <c r="O184" s="1">
        <v>1090</v>
      </c>
      <c r="P184" s="1">
        <v>0</v>
      </c>
      <c r="Q184" s="1">
        <v>3</v>
      </c>
      <c r="R184" s="1">
        <v>4</v>
      </c>
      <c r="S184" s="1">
        <v>7</v>
      </c>
    </row>
    <row r="185" spans="1:19" x14ac:dyDescent="0.2">
      <c r="A185" s="1">
        <v>115101</v>
      </c>
      <c r="B185" t="s">
        <v>58</v>
      </c>
      <c r="C185" s="1">
        <v>45173</v>
      </c>
      <c r="D185" t="s">
        <v>20</v>
      </c>
      <c r="E185" t="s">
        <v>90</v>
      </c>
      <c r="F185" t="s">
        <v>9</v>
      </c>
      <c r="G185" s="1">
        <v>4</v>
      </c>
      <c r="H185" s="1">
        <v>0.6</v>
      </c>
      <c r="I185" t="s">
        <v>41</v>
      </c>
      <c r="J185" s="1">
        <v>0</v>
      </c>
      <c r="K185" s="1">
        <v>19</v>
      </c>
      <c r="L185" s="1">
        <v>0</v>
      </c>
      <c r="M185" s="1">
        <v>2</v>
      </c>
      <c r="N185" s="1">
        <v>1454</v>
      </c>
      <c r="O185" s="1">
        <v>1480</v>
      </c>
      <c r="P185" s="1">
        <v>0</v>
      </c>
      <c r="Q185" s="1">
        <v>2</v>
      </c>
      <c r="R185" s="1">
        <v>3</v>
      </c>
      <c r="S185" s="1">
        <v>0</v>
      </c>
    </row>
    <row r="186" spans="1:19" x14ac:dyDescent="0.2">
      <c r="A186" s="1">
        <v>115125</v>
      </c>
      <c r="B186" t="s">
        <v>58</v>
      </c>
      <c r="C186" s="1">
        <v>45141</v>
      </c>
      <c r="D186" t="s">
        <v>20</v>
      </c>
      <c r="E186" t="s">
        <v>78</v>
      </c>
      <c r="F186" t="s">
        <v>9</v>
      </c>
      <c r="G186" s="1">
        <v>4.2</v>
      </c>
      <c r="H186" s="1">
        <v>1</v>
      </c>
      <c r="I186" t="s">
        <v>10</v>
      </c>
      <c r="J186" s="1">
        <v>1</v>
      </c>
      <c r="K186" s="1">
        <v>115</v>
      </c>
      <c r="L186" s="1">
        <v>0</v>
      </c>
      <c r="M186" s="1">
        <v>0</v>
      </c>
      <c r="N186" s="1">
        <v>559</v>
      </c>
      <c r="O186" s="1">
        <v>688</v>
      </c>
      <c r="P186" s="1">
        <v>0</v>
      </c>
      <c r="Q186" s="1">
        <v>2</v>
      </c>
      <c r="R186" s="1">
        <v>7</v>
      </c>
      <c r="S186" s="1">
        <v>4</v>
      </c>
    </row>
    <row r="187" spans="1:19" x14ac:dyDescent="0.2">
      <c r="A187" s="1">
        <v>1151345</v>
      </c>
      <c r="B187" t="s">
        <v>43</v>
      </c>
      <c r="C187" s="1">
        <v>45153</v>
      </c>
      <c r="D187" t="s">
        <v>44</v>
      </c>
      <c r="E187" t="s">
        <v>76</v>
      </c>
      <c r="F187" t="s">
        <v>28</v>
      </c>
      <c r="G187" s="1">
        <v>2.68</v>
      </c>
      <c r="H187" s="1">
        <v>0.85</v>
      </c>
      <c r="I187" t="s">
        <v>18</v>
      </c>
      <c r="J187" s="1">
        <v>0</v>
      </c>
      <c r="K187" s="1">
        <v>3</v>
      </c>
      <c r="L187" s="1">
        <v>0</v>
      </c>
      <c r="M187" s="1">
        <v>0</v>
      </c>
      <c r="N187" s="1">
        <v>153</v>
      </c>
      <c r="O187" s="1">
        <v>158</v>
      </c>
      <c r="P187" s="1">
        <v>1</v>
      </c>
      <c r="Q187" s="1">
        <v>0</v>
      </c>
      <c r="R187" s="1">
        <v>1</v>
      </c>
      <c r="S187" s="1">
        <v>0</v>
      </c>
    </row>
    <row r="188" spans="1:19" x14ac:dyDescent="0.2">
      <c r="A188" s="1">
        <v>1153334</v>
      </c>
      <c r="B188" t="s">
        <v>26</v>
      </c>
      <c r="C188" s="1">
        <v>45161</v>
      </c>
      <c r="D188" t="s">
        <v>15</v>
      </c>
      <c r="E188" t="s">
        <v>103</v>
      </c>
      <c r="F188" t="s">
        <v>13</v>
      </c>
      <c r="G188" s="1">
        <v>3</v>
      </c>
      <c r="H188" s="1">
        <v>1.5</v>
      </c>
      <c r="I188" t="s">
        <v>14</v>
      </c>
      <c r="J188" s="1">
        <v>0</v>
      </c>
      <c r="K188" s="1">
        <v>7</v>
      </c>
      <c r="L188" s="1">
        <v>1</v>
      </c>
      <c r="M188" s="1">
        <v>1</v>
      </c>
      <c r="N188" s="1">
        <v>539</v>
      </c>
      <c r="O188" s="1">
        <v>552</v>
      </c>
      <c r="P188" s="1">
        <v>0</v>
      </c>
      <c r="Q188" s="1">
        <v>0</v>
      </c>
      <c r="R188" s="1">
        <v>1</v>
      </c>
      <c r="S188" s="1">
        <v>3</v>
      </c>
    </row>
    <row r="189" spans="1:19" x14ac:dyDescent="0.2">
      <c r="A189" s="1">
        <v>115433</v>
      </c>
      <c r="B189" t="s">
        <v>58</v>
      </c>
      <c r="C189" s="1">
        <v>45177</v>
      </c>
      <c r="D189" t="s">
        <v>20</v>
      </c>
      <c r="E189" t="s">
        <v>59</v>
      </c>
      <c r="F189" t="s">
        <v>9</v>
      </c>
      <c r="G189" s="1">
        <v>2.4500000000000002</v>
      </c>
      <c r="H189" s="1">
        <v>0.9</v>
      </c>
      <c r="I189" t="s">
        <v>18</v>
      </c>
      <c r="J189" s="1">
        <v>0</v>
      </c>
      <c r="K189" s="1">
        <v>2</v>
      </c>
      <c r="L189" s="1">
        <v>0</v>
      </c>
      <c r="M189" s="1">
        <v>0</v>
      </c>
      <c r="N189" s="1">
        <v>1210</v>
      </c>
      <c r="O189" s="1">
        <v>1500</v>
      </c>
      <c r="P189" s="1">
        <v>32</v>
      </c>
      <c r="Q189" s="1">
        <v>133</v>
      </c>
      <c r="R189" s="1">
        <v>118</v>
      </c>
      <c r="S189" s="1">
        <v>5</v>
      </c>
    </row>
    <row r="190" spans="1:19" x14ac:dyDescent="0.2">
      <c r="A190" s="1">
        <v>115562</v>
      </c>
      <c r="B190" t="s">
        <v>6</v>
      </c>
      <c r="C190" s="1">
        <v>45137</v>
      </c>
      <c r="D190" t="s">
        <v>20</v>
      </c>
      <c r="E190" t="s">
        <v>68</v>
      </c>
      <c r="F190" t="s">
        <v>113</v>
      </c>
      <c r="G190" s="1">
        <v>5.3</v>
      </c>
      <c r="H190" s="1">
        <v>1</v>
      </c>
      <c r="I190" t="s">
        <v>10</v>
      </c>
      <c r="J190" s="1">
        <v>3</v>
      </c>
      <c r="K190" s="1">
        <v>50</v>
      </c>
      <c r="L190" s="1">
        <v>2</v>
      </c>
      <c r="M190" s="1">
        <v>10</v>
      </c>
      <c r="N190" s="1">
        <v>563</v>
      </c>
      <c r="O190" s="1">
        <v>640</v>
      </c>
      <c r="P190" s="1">
        <v>4</v>
      </c>
      <c r="Q190" s="1">
        <v>4</v>
      </c>
      <c r="R190" s="1">
        <v>3</v>
      </c>
      <c r="S190" s="1">
        <v>1</v>
      </c>
    </row>
    <row r="191" spans="1:19" x14ac:dyDescent="0.2">
      <c r="A191" s="1">
        <v>1156636</v>
      </c>
      <c r="B191" t="s">
        <v>19</v>
      </c>
      <c r="C191" s="1">
        <v>45202</v>
      </c>
      <c r="D191" t="s">
        <v>20</v>
      </c>
      <c r="E191" t="s">
        <v>114</v>
      </c>
      <c r="F191" t="s">
        <v>28</v>
      </c>
      <c r="G191" s="1">
        <v>2.4</v>
      </c>
      <c r="H191" s="1">
        <v>0.8</v>
      </c>
      <c r="I191" t="s">
        <v>18</v>
      </c>
      <c r="J191" s="1">
        <v>117</v>
      </c>
      <c r="K191" s="1">
        <v>129</v>
      </c>
      <c r="L191" s="1">
        <v>0</v>
      </c>
      <c r="M191" s="1">
        <v>0</v>
      </c>
      <c r="N191" s="1">
        <v>1368</v>
      </c>
      <c r="O191" s="1">
        <v>1620</v>
      </c>
      <c r="P191" s="1">
        <v>1</v>
      </c>
      <c r="Q191" s="1">
        <v>1</v>
      </c>
      <c r="R191" s="1">
        <v>3</v>
      </c>
      <c r="S191" s="1">
        <v>1</v>
      </c>
    </row>
    <row r="192" spans="1:19" x14ac:dyDescent="0.2">
      <c r="A192" s="1">
        <v>1160056</v>
      </c>
      <c r="B192" t="s">
        <v>6</v>
      </c>
      <c r="C192" s="1">
        <v>45131</v>
      </c>
      <c r="D192" t="s">
        <v>20</v>
      </c>
      <c r="E192" t="s">
        <v>115</v>
      </c>
      <c r="F192" t="s">
        <v>75</v>
      </c>
      <c r="G192" s="1">
        <v>3.5</v>
      </c>
      <c r="H192" s="1">
        <v>1</v>
      </c>
      <c r="I192" t="s">
        <v>23</v>
      </c>
      <c r="J192" s="1">
        <v>18</v>
      </c>
      <c r="K192" s="1">
        <v>0</v>
      </c>
      <c r="L192" s="1">
        <v>0</v>
      </c>
      <c r="M192" s="1">
        <v>0</v>
      </c>
      <c r="N192" s="1">
        <v>87</v>
      </c>
      <c r="O192" s="1">
        <v>105</v>
      </c>
      <c r="P192" s="1">
        <v>0</v>
      </c>
      <c r="Q192" s="1">
        <v>0</v>
      </c>
      <c r="R192" s="1">
        <v>0</v>
      </c>
      <c r="S192" s="1">
        <v>0</v>
      </c>
    </row>
    <row r="193" spans="1:19" x14ac:dyDescent="0.2">
      <c r="A193" s="1">
        <v>1160953</v>
      </c>
      <c r="B193" t="s">
        <v>24</v>
      </c>
      <c r="C193" s="1">
        <v>45147</v>
      </c>
      <c r="D193" t="s">
        <v>20</v>
      </c>
      <c r="E193" t="s">
        <v>116</v>
      </c>
      <c r="F193" t="s">
        <v>25</v>
      </c>
      <c r="G193" s="1">
        <v>2.5</v>
      </c>
      <c r="H193" s="1">
        <v>1</v>
      </c>
      <c r="I193" t="s">
        <v>18</v>
      </c>
      <c r="J193" s="1">
        <v>74</v>
      </c>
      <c r="K193" s="1">
        <v>0</v>
      </c>
      <c r="L193" s="1">
        <v>0</v>
      </c>
      <c r="M193" s="1">
        <v>7</v>
      </c>
      <c r="N193" s="1">
        <v>1212</v>
      </c>
      <c r="O193" s="1">
        <v>1344</v>
      </c>
      <c r="P193" s="1">
        <v>17</v>
      </c>
      <c r="Q193" s="1">
        <v>0</v>
      </c>
      <c r="R193" s="1">
        <v>0</v>
      </c>
      <c r="S193" s="1">
        <v>34</v>
      </c>
    </row>
    <row r="194" spans="1:19" x14ac:dyDescent="0.2">
      <c r="A194" s="1">
        <v>1161076</v>
      </c>
      <c r="B194" t="s">
        <v>24</v>
      </c>
      <c r="C194" s="1">
        <v>45145</v>
      </c>
      <c r="D194" t="s">
        <v>20</v>
      </c>
      <c r="E194" t="s">
        <v>116</v>
      </c>
      <c r="F194" t="s">
        <v>28</v>
      </c>
      <c r="G194" s="1">
        <v>2.5</v>
      </c>
      <c r="H194" s="1">
        <v>0.8</v>
      </c>
      <c r="I194" t="s">
        <v>18</v>
      </c>
      <c r="J194" s="1">
        <v>101</v>
      </c>
      <c r="K194" s="1">
        <v>26</v>
      </c>
      <c r="L194" s="1">
        <v>0</v>
      </c>
      <c r="M194" s="1">
        <v>2</v>
      </c>
      <c r="N194" s="1">
        <v>1330</v>
      </c>
      <c r="O194" s="1">
        <v>1560</v>
      </c>
      <c r="P194" s="1">
        <v>15</v>
      </c>
      <c r="Q194" s="1">
        <v>5</v>
      </c>
      <c r="R194" s="1">
        <v>7</v>
      </c>
      <c r="S194" s="1">
        <v>74</v>
      </c>
    </row>
    <row r="195" spans="1:19" x14ac:dyDescent="0.2">
      <c r="A195" s="1">
        <v>1162502</v>
      </c>
      <c r="B195" t="s">
        <v>60</v>
      </c>
      <c r="C195" s="1">
        <v>45146</v>
      </c>
      <c r="D195" t="s">
        <v>20</v>
      </c>
      <c r="E195" t="s">
        <v>117</v>
      </c>
      <c r="F195" t="s">
        <v>30</v>
      </c>
      <c r="G195" s="1">
        <v>3.8</v>
      </c>
      <c r="H195" s="1">
        <v>0.7</v>
      </c>
      <c r="I195" t="s">
        <v>41</v>
      </c>
      <c r="J195" s="1">
        <v>5</v>
      </c>
      <c r="K195" s="1">
        <v>0</v>
      </c>
      <c r="L195" s="1">
        <v>0</v>
      </c>
      <c r="M195" s="1">
        <v>1</v>
      </c>
      <c r="N195" s="1">
        <v>486</v>
      </c>
      <c r="O195" s="1">
        <v>528</v>
      </c>
      <c r="P195" s="1">
        <v>15</v>
      </c>
      <c r="Q195" s="1">
        <v>16</v>
      </c>
      <c r="R195" s="1">
        <v>5</v>
      </c>
      <c r="S195" s="1">
        <v>0</v>
      </c>
    </row>
    <row r="196" spans="1:19" x14ac:dyDescent="0.2">
      <c r="A196" s="1">
        <v>1162972</v>
      </c>
      <c r="B196" t="s">
        <v>24</v>
      </c>
      <c r="C196" s="1">
        <v>45140</v>
      </c>
      <c r="D196" t="s">
        <v>20</v>
      </c>
      <c r="E196" t="s">
        <v>49</v>
      </c>
      <c r="F196" t="s">
        <v>9</v>
      </c>
      <c r="G196" s="1">
        <v>3.8</v>
      </c>
      <c r="H196" s="1">
        <v>0.83</v>
      </c>
      <c r="I196" t="s">
        <v>10</v>
      </c>
      <c r="J196" s="1">
        <v>19</v>
      </c>
      <c r="K196" s="1">
        <v>0</v>
      </c>
      <c r="L196" s="1">
        <v>0</v>
      </c>
      <c r="M196" s="1">
        <v>3</v>
      </c>
      <c r="N196" s="1">
        <v>1032</v>
      </c>
      <c r="O196" s="1">
        <v>1092</v>
      </c>
      <c r="P196" s="1">
        <v>24</v>
      </c>
      <c r="Q196" s="1">
        <v>6</v>
      </c>
      <c r="R196" s="1">
        <v>2</v>
      </c>
      <c r="S196" s="1">
        <v>6</v>
      </c>
    </row>
    <row r="197" spans="1:19" x14ac:dyDescent="0.2">
      <c r="A197" s="1">
        <v>1165251</v>
      </c>
      <c r="B197" t="s">
        <v>35</v>
      </c>
      <c r="C197" s="1">
        <v>45147</v>
      </c>
      <c r="D197" t="s">
        <v>20</v>
      </c>
      <c r="E197" t="s">
        <v>118</v>
      </c>
      <c r="F197" t="s">
        <v>28</v>
      </c>
      <c r="G197" s="1">
        <v>0.9</v>
      </c>
      <c r="H197" s="1">
        <v>2.5</v>
      </c>
      <c r="I197" t="s">
        <v>18</v>
      </c>
      <c r="J197" s="1">
        <v>0</v>
      </c>
      <c r="K197" s="1">
        <v>8</v>
      </c>
      <c r="L197" s="1">
        <v>0</v>
      </c>
      <c r="M197" s="1">
        <v>0</v>
      </c>
      <c r="N197" s="1">
        <v>1085</v>
      </c>
      <c r="O197" s="1">
        <v>1180</v>
      </c>
      <c r="P197" s="1">
        <v>12</v>
      </c>
      <c r="Q197" s="1">
        <v>18</v>
      </c>
      <c r="R197" s="1">
        <v>44</v>
      </c>
      <c r="S197" s="1">
        <v>13</v>
      </c>
    </row>
    <row r="198" spans="1:19" x14ac:dyDescent="0.2">
      <c r="A198" s="1">
        <v>1166728</v>
      </c>
      <c r="B198" t="s">
        <v>24</v>
      </c>
      <c r="C198" s="1">
        <v>45145</v>
      </c>
      <c r="D198" t="s">
        <v>20</v>
      </c>
      <c r="E198" t="s">
        <v>119</v>
      </c>
      <c r="F198" t="s">
        <v>28</v>
      </c>
      <c r="G198" s="1">
        <v>2.4</v>
      </c>
      <c r="H198" s="1">
        <v>0.8</v>
      </c>
      <c r="I198" t="s">
        <v>18</v>
      </c>
      <c r="J198" s="1">
        <v>153</v>
      </c>
      <c r="K198" s="1">
        <v>9</v>
      </c>
      <c r="L198" s="1">
        <v>2</v>
      </c>
      <c r="M198" s="1">
        <v>43</v>
      </c>
      <c r="N198" s="1">
        <v>1363</v>
      </c>
      <c r="O198" s="1">
        <v>1600</v>
      </c>
      <c r="P198" s="1">
        <v>9</v>
      </c>
      <c r="Q198" s="1">
        <v>0</v>
      </c>
      <c r="R198" s="1">
        <v>0</v>
      </c>
      <c r="S198" s="1">
        <v>21</v>
      </c>
    </row>
    <row r="199" spans="1:19" x14ac:dyDescent="0.2">
      <c r="A199" s="1">
        <v>1166762</v>
      </c>
      <c r="B199" t="s">
        <v>24</v>
      </c>
      <c r="C199" s="1">
        <v>45145</v>
      </c>
      <c r="D199" t="s">
        <v>20</v>
      </c>
      <c r="E199" t="s">
        <v>119</v>
      </c>
      <c r="F199" t="s">
        <v>28</v>
      </c>
      <c r="G199" s="1">
        <v>2.2999999999999998</v>
      </c>
      <c r="H199" s="1">
        <v>0.7</v>
      </c>
      <c r="I199" t="s">
        <v>32</v>
      </c>
      <c r="J199" s="1">
        <v>103</v>
      </c>
      <c r="K199" s="1">
        <v>0</v>
      </c>
      <c r="L199" s="1">
        <v>0</v>
      </c>
      <c r="M199" s="1">
        <v>0</v>
      </c>
      <c r="N199" s="1">
        <v>1063</v>
      </c>
      <c r="O199" s="1">
        <v>1410</v>
      </c>
      <c r="P199" s="1">
        <v>5</v>
      </c>
      <c r="Q199" s="1">
        <v>0</v>
      </c>
      <c r="R199" s="1">
        <v>7</v>
      </c>
      <c r="S199" s="1">
        <v>232</v>
      </c>
    </row>
    <row r="200" spans="1:19" x14ac:dyDescent="0.2">
      <c r="A200" s="1">
        <v>116737</v>
      </c>
      <c r="B200" t="s">
        <v>58</v>
      </c>
      <c r="C200" s="1">
        <v>45184</v>
      </c>
      <c r="D200" t="s">
        <v>20</v>
      </c>
      <c r="E200" t="s">
        <v>46</v>
      </c>
      <c r="F200" t="s">
        <v>25</v>
      </c>
      <c r="G200" s="1">
        <v>3</v>
      </c>
      <c r="H200" s="1">
        <v>0.85</v>
      </c>
      <c r="I200" t="s">
        <v>10</v>
      </c>
      <c r="J200" s="1">
        <v>71</v>
      </c>
      <c r="K200" s="1">
        <v>419</v>
      </c>
      <c r="L200" s="1">
        <v>0</v>
      </c>
      <c r="M200" s="1">
        <v>48</v>
      </c>
      <c r="N200" s="1">
        <v>315</v>
      </c>
      <c r="O200" s="1">
        <v>874</v>
      </c>
      <c r="P200" s="1">
        <v>0</v>
      </c>
      <c r="Q200" s="1">
        <v>2</v>
      </c>
      <c r="R200" s="1">
        <v>12</v>
      </c>
      <c r="S200" s="1">
        <v>7</v>
      </c>
    </row>
    <row r="201" spans="1:19" x14ac:dyDescent="0.2">
      <c r="A201" s="1">
        <v>116754</v>
      </c>
      <c r="B201" t="s">
        <v>31</v>
      </c>
      <c r="C201" s="1">
        <v>45163</v>
      </c>
      <c r="D201" t="s">
        <v>15</v>
      </c>
      <c r="E201" t="s">
        <v>57</v>
      </c>
      <c r="F201" t="s">
        <v>101</v>
      </c>
      <c r="G201" s="1">
        <v>2.8</v>
      </c>
      <c r="H201" s="1">
        <v>1.66</v>
      </c>
      <c r="I201" t="s">
        <v>14</v>
      </c>
      <c r="J201" s="1">
        <v>2</v>
      </c>
      <c r="K201" s="1">
        <v>0</v>
      </c>
      <c r="L201" s="1">
        <v>0</v>
      </c>
      <c r="M201" s="1">
        <v>0</v>
      </c>
      <c r="N201" s="1">
        <v>717</v>
      </c>
      <c r="O201" s="1">
        <v>720</v>
      </c>
      <c r="P201" s="1">
        <v>0</v>
      </c>
      <c r="Q201" s="1">
        <v>0</v>
      </c>
      <c r="R201" s="1">
        <v>1</v>
      </c>
      <c r="S201" s="1">
        <v>0</v>
      </c>
    </row>
    <row r="202" spans="1:19" x14ac:dyDescent="0.2">
      <c r="A202" s="1"/>
      <c r="C202" s="1"/>
      <c r="G202" s="1"/>
      <c r="H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2">
      <c r="A203" s="1"/>
      <c r="C203" s="1"/>
      <c r="G203" s="1"/>
      <c r="H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x14ac:dyDescent="0.2">
      <c r="A204" s="1"/>
      <c r="C204" s="1"/>
      <c r="G204" s="1"/>
      <c r="H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2">
      <c r="A205" s="1"/>
      <c r="C205" s="1"/>
      <c r="G205" s="1"/>
      <c r="H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x14ac:dyDescent="0.2">
      <c r="A206" s="1"/>
      <c r="C206" s="1"/>
      <c r="G206" s="1"/>
      <c r="H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2">
      <c r="A207" s="1"/>
      <c r="C207" s="1"/>
      <c r="G207" s="1"/>
      <c r="H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2">
      <c r="A208" s="1"/>
      <c r="C208" s="1"/>
      <c r="G208" s="1"/>
      <c r="H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2">
      <c r="A209" s="1"/>
      <c r="C209" s="1"/>
      <c r="G209" s="1"/>
      <c r="H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2">
      <c r="A210" s="1"/>
      <c r="C210" s="1"/>
      <c r="G210" s="1"/>
      <c r="H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2">
      <c r="A211" s="1"/>
      <c r="C211" s="1"/>
      <c r="G211" s="1"/>
      <c r="H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2">
      <c r="A212" s="1"/>
      <c r="C212" s="1"/>
      <c r="G212" s="1"/>
      <c r="H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2">
      <c r="A213" s="1"/>
      <c r="C213" s="1"/>
      <c r="G213" s="1"/>
      <c r="H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2">
      <c r="A214" s="1"/>
      <c r="C214" s="1"/>
      <c r="G214" s="1"/>
      <c r="H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2">
      <c r="A215" s="1"/>
      <c r="C215" s="1"/>
      <c r="G215" s="1"/>
      <c r="H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2">
      <c r="A216" s="1"/>
      <c r="C216" s="1"/>
      <c r="G216" s="1"/>
      <c r="H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2">
      <c r="A217" s="1"/>
      <c r="C217" s="1"/>
      <c r="G217" s="1"/>
      <c r="H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2">
      <c r="A218" s="1"/>
      <c r="C218" s="1"/>
      <c r="G218" s="1"/>
      <c r="H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2">
      <c r="A219" s="1"/>
      <c r="C219" s="1"/>
      <c r="G219" s="1"/>
      <c r="H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2">
      <c r="A220" s="1"/>
      <c r="C220" s="1"/>
      <c r="G220" s="1"/>
      <c r="H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2">
      <c r="A221" s="1"/>
      <c r="C221" s="1"/>
      <c r="G221" s="1"/>
      <c r="H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2">
      <c r="A222" s="1"/>
      <c r="C222" s="1"/>
      <c r="G222" s="1"/>
      <c r="H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x14ac:dyDescent="0.2">
      <c r="A223" s="1"/>
      <c r="C223" s="1"/>
      <c r="G223" s="1"/>
      <c r="H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2">
      <c r="A224" s="1"/>
      <c r="C224" s="1"/>
      <c r="G224" s="1"/>
      <c r="H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2">
      <c r="A225" s="1"/>
      <c r="C225" s="1"/>
      <c r="G225" s="1"/>
      <c r="H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2">
      <c r="A226" s="1"/>
      <c r="C226" s="1"/>
      <c r="G226" s="1"/>
      <c r="H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x14ac:dyDescent="0.2">
      <c r="A227" s="1"/>
      <c r="C227" s="1"/>
      <c r="G227" s="1"/>
      <c r="H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x14ac:dyDescent="0.2">
      <c r="A228" s="1"/>
      <c r="C228" s="1"/>
      <c r="G228" s="1"/>
      <c r="H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2">
      <c r="A229" s="1"/>
      <c r="C229" s="1"/>
      <c r="G229" s="1"/>
      <c r="H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2">
      <c r="A230" s="1"/>
      <c r="C230" s="1"/>
      <c r="G230" s="1"/>
      <c r="H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2">
      <c r="A231" s="1"/>
      <c r="C231" s="1"/>
      <c r="G231" s="1"/>
      <c r="H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2">
      <c r="A232" s="1"/>
      <c r="C232" s="1"/>
      <c r="G232" s="1"/>
      <c r="H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2">
      <c r="A233" s="1"/>
      <c r="C233" s="1"/>
      <c r="G233" s="1"/>
      <c r="H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x14ac:dyDescent="0.2">
      <c r="A234" s="1"/>
      <c r="C234" s="1"/>
      <c r="G234" s="1"/>
      <c r="H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2">
      <c r="A235" s="1"/>
      <c r="C235" s="1"/>
      <c r="G235" s="1"/>
      <c r="H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2">
      <c r="A236" s="1"/>
      <c r="C236" s="1"/>
      <c r="G236" s="1"/>
      <c r="H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2">
      <c r="A237" s="1"/>
      <c r="C237" s="1"/>
      <c r="G237" s="1"/>
      <c r="H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2">
      <c r="A238" s="1"/>
      <c r="C238" s="1"/>
      <c r="G238" s="1"/>
      <c r="H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2">
      <c r="A239" s="1"/>
      <c r="C239" s="1"/>
      <c r="G239" s="1"/>
      <c r="H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2">
      <c r="A240" s="1"/>
      <c r="C240" s="1"/>
      <c r="G240" s="1"/>
      <c r="H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2">
      <c r="A241" s="1"/>
      <c r="C241" s="1"/>
      <c r="G241" s="1"/>
      <c r="H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2">
      <c r="A242" s="1"/>
      <c r="C242" s="1"/>
      <c r="G242" s="1"/>
      <c r="H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2">
      <c r="A243" s="1"/>
      <c r="C243" s="1"/>
      <c r="G243" s="1"/>
      <c r="H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2">
      <c r="A244" s="1"/>
      <c r="C244" s="1"/>
      <c r="G244" s="1"/>
      <c r="H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2">
      <c r="A245" s="1"/>
      <c r="C245" s="1"/>
      <c r="G245" s="1"/>
      <c r="H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2">
      <c r="A246" s="1"/>
      <c r="C246" s="1"/>
      <c r="G246" s="1"/>
      <c r="H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2">
      <c r="A247" s="1"/>
      <c r="C247" s="1"/>
      <c r="G247" s="1"/>
      <c r="H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2">
      <c r="A248" s="1"/>
      <c r="C248" s="1"/>
      <c r="G248" s="1"/>
      <c r="H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2">
      <c r="A249" s="1"/>
      <c r="C249" s="1"/>
      <c r="G249" s="1"/>
      <c r="H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2">
      <c r="A250" s="1"/>
      <c r="C250" s="1"/>
      <c r="G250" s="1"/>
      <c r="H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2">
      <c r="A251" s="1"/>
      <c r="C251" s="1"/>
      <c r="G251" s="1"/>
      <c r="H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2">
      <c r="A252" s="1"/>
      <c r="C252" s="1"/>
      <c r="G252" s="1"/>
      <c r="H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2">
      <c r="A253" s="1"/>
      <c r="C253" s="1"/>
      <c r="G253" s="1"/>
      <c r="H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2">
      <c r="A254" s="1"/>
      <c r="C254" s="1"/>
      <c r="G254" s="1"/>
      <c r="H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2">
      <c r="A255" s="1"/>
      <c r="C255" s="1"/>
      <c r="G255" s="1"/>
      <c r="H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2">
      <c r="A256" s="1"/>
      <c r="C256" s="1"/>
      <c r="G256" s="1"/>
      <c r="H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2">
      <c r="A257" s="1"/>
      <c r="C257" s="1"/>
      <c r="G257" s="1"/>
      <c r="H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2">
      <c r="A258" s="1"/>
      <c r="C258" s="1"/>
      <c r="G258" s="1"/>
      <c r="H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2">
      <c r="A259" s="1"/>
      <c r="C259" s="1"/>
      <c r="G259" s="1"/>
      <c r="H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2">
      <c r="A260" s="1"/>
      <c r="C260" s="1"/>
      <c r="G260" s="1"/>
      <c r="H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2">
      <c r="A261" s="1"/>
      <c r="C261" s="1"/>
      <c r="G261" s="1"/>
      <c r="H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x14ac:dyDescent="0.2">
      <c r="A262" s="1"/>
      <c r="C262" s="1"/>
      <c r="G262" s="1"/>
      <c r="H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2">
      <c r="A263" s="1"/>
      <c r="C263" s="1"/>
      <c r="G263" s="1"/>
      <c r="H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x14ac:dyDescent="0.2">
      <c r="A264" s="1"/>
      <c r="C264" s="1"/>
      <c r="G264" s="1"/>
      <c r="H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2">
      <c r="A265" s="1"/>
      <c r="C265" s="1"/>
      <c r="G265" s="1"/>
      <c r="H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x14ac:dyDescent="0.2">
      <c r="A266" s="1"/>
      <c r="C266" s="1"/>
      <c r="G266" s="1"/>
      <c r="H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x14ac:dyDescent="0.2">
      <c r="A267" s="1"/>
      <c r="C267" s="1"/>
      <c r="G267" s="1"/>
      <c r="H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x14ac:dyDescent="0.2">
      <c r="A268" s="1"/>
      <c r="C268" s="1"/>
      <c r="G268" s="1"/>
      <c r="H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2">
      <c r="A269" s="1"/>
      <c r="C269" s="1"/>
      <c r="G269" s="1"/>
      <c r="H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x14ac:dyDescent="0.2">
      <c r="A270" s="1"/>
      <c r="C270" s="1"/>
      <c r="G270" s="1"/>
      <c r="H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x14ac:dyDescent="0.2">
      <c r="A271" s="1"/>
      <c r="C271" s="1"/>
      <c r="G271" s="1"/>
      <c r="H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x14ac:dyDescent="0.2">
      <c r="A272" s="1"/>
      <c r="C272" s="1"/>
      <c r="G272" s="1"/>
      <c r="H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x14ac:dyDescent="0.2">
      <c r="A273" s="1"/>
      <c r="C273" s="1"/>
      <c r="G273" s="1"/>
      <c r="H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x14ac:dyDescent="0.2">
      <c r="A274" s="1"/>
      <c r="C274" s="1"/>
      <c r="G274" s="1"/>
      <c r="H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x14ac:dyDescent="0.2">
      <c r="A275" s="1"/>
      <c r="C275" s="1"/>
      <c r="G275" s="1"/>
      <c r="H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x14ac:dyDescent="0.2">
      <c r="A276" s="1"/>
      <c r="C276" s="1"/>
      <c r="G276" s="1"/>
      <c r="H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x14ac:dyDescent="0.2">
      <c r="A277" s="1"/>
      <c r="C277" s="1"/>
      <c r="G277" s="1"/>
      <c r="H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x14ac:dyDescent="0.2">
      <c r="A278" s="1"/>
      <c r="C278" s="1"/>
      <c r="G278" s="1"/>
      <c r="H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x14ac:dyDescent="0.2">
      <c r="A279" s="1"/>
      <c r="C279" s="1"/>
      <c r="G279" s="1"/>
      <c r="H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x14ac:dyDescent="0.2">
      <c r="A280" s="1"/>
      <c r="C280" s="1"/>
      <c r="G280" s="1"/>
      <c r="H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2">
      <c r="A281" s="1"/>
      <c r="C281" s="1"/>
      <c r="G281" s="1"/>
      <c r="H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x14ac:dyDescent="0.2">
      <c r="A282" s="1"/>
      <c r="C282" s="1"/>
      <c r="G282" s="1"/>
      <c r="H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x14ac:dyDescent="0.2">
      <c r="A283" s="1"/>
      <c r="C283" s="1"/>
      <c r="G283" s="1"/>
      <c r="H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x14ac:dyDescent="0.2">
      <c r="A284" s="1"/>
      <c r="C284" s="1"/>
      <c r="G284" s="1"/>
      <c r="H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x14ac:dyDescent="0.2">
      <c r="A285" s="1"/>
      <c r="C285" s="1"/>
      <c r="G285" s="1"/>
      <c r="H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x14ac:dyDescent="0.2">
      <c r="A286" s="1"/>
      <c r="C286" s="1"/>
      <c r="G286" s="1"/>
      <c r="H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2">
      <c r="A287" s="1"/>
      <c r="C287" s="1"/>
      <c r="G287" s="1"/>
      <c r="H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x14ac:dyDescent="0.2">
      <c r="A288" s="1"/>
      <c r="C288" s="1"/>
      <c r="G288" s="1"/>
      <c r="H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x14ac:dyDescent="0.2">
      <c r="A289" s="1"/>
      <c r="C289" s="1"/>
      <c r="G289" s="1"/>
      <c r="H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x14ac:dyDescent="0.2">
      <c r="A290" s="1"/>
      <c r="C290" s="1"/>
      <c r="G290" s="1"/>
      <c r="H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2">
      <c r="A291" s="1"/>
      <c r="C291" s="1"/>
      <c r="G291" s="1"/>
      <c r="H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x14ac:dyDescent="0.2">
      <c r="A292" s="1"/>
      <c r="C292" s="1"/>
      <c r="G292" s="1"/>
      <c r="H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x14ac:dyDescent="0.2">
      <c r="A293" s="1"/>
      <c r="C293" s="1"/>
      <c r="G293" s="1"/>
      <c r="H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x14ac:dyDescent="0.2">
      <c r="A294" s="1"/>
      <c r="C294" s="1"/>
      <c r="G294" s="1"/>
      <c r="H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x14ac:dyDescent="0.2">
      <c r="A295" s="1"/>
      <c r="C295" s="1"/>
      <c r="G295" s="1"/>
      <c r="H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x14ac:dyDescent="0.2">
      <c r="A296" s="1"/>
      <c r="C296" s="1"/>
      <c r="G296" s="1"/>
      <c r="H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2">
      <c r="A297" s="1"/>
      <c r="C297" s="1"/>
      <c r="G297" s="1"/>
      <c r="H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x14ac:dyDescent="0.2">
      <c r="A298" s="1"/>
      <c r="C298" s="1"/>
      <c r="G298" s="1"/>
      <c r="H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x14ac:dyDescent="0.2">
      <c r="A299" s="1"/>
      <c r="C299" s="1"/>
      <c r="G299" s="1"/>
      <c r="H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x14ac:dyDescent="0.2">
      <c r="A300" s="1"/>
      <c r="C300" s="1"/>
      <c r="G300" s="1"/>
      <c r="H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x14ac:dyDescent="0.2">
      <c r="A301" s="1"/>
      <c r="C301" s="1"/>
      <c r="G301" s="1"/>
      <c r="H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x14ac:dyDescent="0.2">
      <c r="A302" s="1"/>
      <c r="C302" s="1"/>
      <c r="G302" s="1"/>
      <c r="H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x14ac:dyDescent="0.2">
      <c r="A303" s="1"/>
      <c r="C303" s="1"/>
      <c r="G303" s="1"/>
      <c r="H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x14ac:dyDescent="0.2">
      <c r="A304" s="1"/>
      <c r="C304" s="1"/>
      <c r="G304" s="1"/>
      <c r="H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x14ac:dyDescent="0.2">
      <c r="A305" s="1"/>
      <c r="C305" s="1"/>
      <c r="G305" s="1"/>
      <c r="H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x14ac:dyDescent="0.2">
      <c r="A306" s="1"/>
      <c r="C306" s="1"/>
      <c r="G306" s="1"/>
      <c r="H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x14ac:dyDescent="0.2">
      <c r="A307" s="1"/>
      <c r="C307" s="1"/>
      <c r="G307" s="1"/>
      <c r="H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x14ac:dyDescent="0.2">
      <c r="A308" s="1"/>
      <c r="C308" s="1"/>
      <c r="G308" s="1"/>
      <c r="H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x14ac:dyDescent="0.2">
      <c r="A309" s="1"/>
      <c r="C309" s="1"/>
      <c r="G309" s="1"/>
      <c r="H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x14ac:dyDescent="0.2">
      <c r="A310" s="1"/>
      <c r="C310" s="1"/>
      <c r="G310" s="1"/>
      <c r="H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x14ac:dyDescent="0.2">
      <c r="A311" s="1"/>
      <c r="C311" s="1"/>
      <c r="G311" s="1"/>
      <c r="H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x14ac:dyDescent="0.2">
      <c r="A312" s="1"/>
      <c r="C312" s="1"/>
      <c r="G312" s="1"/>
      <c r="H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x14ac:dyDescent="0.2">
      <c r="A313" s="1"/>
      <c r="C313" s="1"/>
      <c r="G313" s="1"/>
      <c r="H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x14ac:dyDescent="0.2">
      <c r="A314" s="1"/>
      <c r="C314" s="1"/>
      <c r="G314" s="1"/>
      <c r="H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x14ac:dyDescent="0.2">
      <c r="A315" s="1"/>
      <c r="C315" s="1"/>
      <c r="G315" s="1"/>
      <c r="H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x14ac:dyDescent="0.2">
      <c r="A316" s="1"/>
      <c r="C316" s="1"/>
      <c r="G316" s="1"/>
      <c r="H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x14ac:dyDescent="0.2">
      <c r="A317" s="1"/>
      <c r="C317" s="1"/>
      <c r="G317" s="1"/>
      <c r="H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x14ac:dyDescent="0.2">
      <c r="A318" s="1"/>
      <c r="C318" s="1"/>
      <c r="G318" s="1"/>
      <c r="H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x14ac:dyDescent="0.2">
      <c r="A319" s="1"/>
      <c r="C319" s="1"/>
      <c r="G319" s="1"/>
      <c r="H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x14ac:dyDescent="0.2">
      <c r="A320" s="1"/>
      <c r="C320" s="1"/>
      <c r="G320" s="1"/>
      <c r="H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x14ac:dyDescent="0.2">
      <c r="A321" s="1"/>
      <c r="C321" s="1"/>
      <c r="G321" s="1"/>
      <c r="H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x14ac:dyDescent="0.2">
      <c r="A322" s="1"/>
      <c r="C322" s="1"/>
      <c r="G322" s="1"/>
      <c r="H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x14ac:dyDescent="0.2">
      <c r="A323" s="1"/>
      <c r="C323" s="1"/>
      <c r="G323" s="1"/>
      <c r="H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x14ac:dyDescent="0.2">
      <c r="A324" s="1"/>
      <c r="C324" s="1"/>
      <c r="G324" s="1"/>
      <c r="H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x14ac:dyDescent="0.2">
      <c r="A325" s="1"/>
      <c r="C325" s="1"/>
      <c r="G325" s="1"/>
      <c r="H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x14ac:dyDescent="0.2">
      <c r="A326" s="1"/>
      <c r="C326" s="1"/>
      <c r="G326" s="1"/>
      <c r="H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x14ac:dyDescent="0.2">
      <c r="A327" s="1"/>
      <c r="C327" s="1"/>
      <c r="G327" s="1"/>
      <c r="H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x14ac:dyDescent="0.2">
      <c r="A328" s="1"/>
      <c r="C328" s="1"/>
      <c r="G328" s="1"/>
      <c r="H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2">
      <c r="A329" s="1"/>
      <c r="C329" s="1"/>
      <c r="G329" s="1"/>
      <c r="H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x14ac:dyDescent="0.2">
      <c r="A330" s="1"/>
      <c r="C330" s="1"/>
      <c r="G330" s="1"/>
      <c r="H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x14ac:dyDescent="0.2">
      <c r="A331" s="1"/>
      <c r="C331" s="1"/>
      <c r="G331" s="1"/>
      <c r="H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x14ac:dyDescent="0.2">
      <c r="A332" s="1"/>
      <c r="C332" s="1"/>
      <c r="G332" s="1"/>
      <c r="H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x14ac:dyDescent="0.2">
      <c r="A333" s="1"/>
      <c r="C333" s="1"/>
      <c r="G333" s="1"/>
      <c r="H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2">
      <c r="A334" s="1"/>
      <c r="C334" s="1"/>
      <c r="G334" s="1"/>
      <c r="H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x14ac:dyDescent="0.2">
      <c r="A335" s="1"/>
      <c r="C335" s="1"/>
      <c r="G335" s="1"/>
      <c r="H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x14ac:dyDescent="0.2">
      <c r="A336" s="1"/>
      <c r="C336" s="1"/>
      <c r="G336" s="1"/>
      <c r="H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x14ac:dyDescent="0.2">
      <c r="A337" s="1"/>
      <c r="C337" s="1"/>
      <c r="G337" s="1"/>
      <c r="H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x14ac:dyDescent="0.2">
      <c r="A338" s="1"/>
      <c r="C338" s="1"/>
      <c r="G338" s="1"/>
      <c r="H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x14ac:dyDescent="0.2">
      <c r="A339" s="1"/>
      <c r="C339" s="1"/>
      <c r="G339" s="1"/>
      <c r="H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x14ac:dyDescent="0.2">
      <c r="A340" s="1"/>
      <c r="C340" s="1"/>
      <c r="G340" s="1"/>
      <c r="H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x14ac:dyDescent="0.2">
      <c r="A341" s="1"/>
      <c r="C341" s="1"/>
      <c r="G341" s="1"/>
      <c r="H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x14ac:dyDescent="0.2">
      <c r="A342" s="1"/>
      <c r="C342" s="1"/>
      <c r="G342" s="1"/>
      <c r="H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x14ac:dyDescent="0.2">
      <c r="A343" s="1"/>
      <c r="C343" s="1"/>
      <c r="G343" s="1"/>
      <c r="H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x14ac:dyDescent="0.2">
      <c r="A344" s="1"/>
      <c r="C344" s="1"/>
      <c r="G344" s="1"/>
      <c r="H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x14ac:dyDescent="0.2">
      <c r="A345" s="1"/>
      <c r="C345" s="1"/>
      <c r="G345" s="1"/>
      <c r="H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x14ac:dyDescent="0.2">
      <c r="A346" s="1"/>
      <c r="C346" s="1"/>
      <c r="G346" s="1"/>
      <c r="H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2">
      <c r="A347" s="1"/>
      <c r="C347" s="1"/>
      <c r="G347" s="1"/>
      <c r="H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x14ac:dyDescent="0.2">
      <c r="A348" s="1"/>
      <c r="C348" s="1"/>
      <c r="G348" s="1"/>
      <c r="H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x14ac:dyDescent="0.2">
      <c r="A349" s="1"/>
      <c r="C349" s="1"/>
      <c r="G349" s="1"/>
      <c r="H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x14ac:dyDescent="0.2">
      <c r="A350" s="1"/>
      <c r="C350" s="1"/>
      <c r="G350" s="1"/>
      <c r="H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x14ac:dyDescent="0.2">
      <c r="A351" s="1"/>
      <c r="C351" s="1"/>
      <c r="G351" s="1"/>
      <c r="H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x14ac:dyDescent="0.2">
      <c r="A352" s="1"/>
      <c r="C352" s="1"/>
      <c r="G352" s="1"/>
      <c r="H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x14ac:dyDescent="0.2">
      <c r="A353" s="1"/>
      <c r="C353" s="1"/>
      <c r="G353" s="1"/>
      <c r="H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x14ac:dyDescent="0.2">
      <c r="A354" s="1"/>
      <c r="C354" s="1"/>
      <c r="G354" s="1"/>
      <c r="H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x14ac:dyDescent="0.2">
      <c r="A355" s="1"/>
      <c r="C355" s="1"/>
      <c r="G355" s="1"/>
      <c r="H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x14ac:dyDescent="0.2">
      <c r="A356" s="1"/>
      <c r="C356" s="1"/>
      <c r="G356" s="1"/>
      <c r="H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2">
      <c r="A357" s="1"/>
      <c r="C357" s="1"/>
      <c r="G357" s="1"/>
      <c r="H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x14ac:dyDescent="0.2">
      <c r="A358" s="1"/>
      <c r="C358" s="1"/>
      <c r="G358" s="1"/>
      <c r="H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x14ac:dyDescent="0.2">
      <c r="A359" s="1"/>
      <c r="C359" s="1"/>
      <c r="G359" s="1"/>
      <c r="H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x14ac:dyDescent="0.2">
      <c r="A360" s="1"/>
      <c r="C360" s="1"/>
      <c r="G360" s="1"/>
      <c r="H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x14ac:dyDescent="0.2">
      <c r="A361" s="1"/>
      <c r="C361" s="1"/>
      <c r="G361" s="1"/>
      <c r="H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x14ac:dyDescent="0.2">
      <c r="A362" s="1"/>
      <c r="C362" s="1"/>
      <c r="G362" s="1"/>
      <c r="H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x14ac:dyDescent="0.2">
      <c r="A363" s="1"/>
      <c r="C363" s="1"/>
      <c r="G363" s="1"/>
      <c r="H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x14ac:dyDescent="0.2">
      <c r="A364" s="1"/>
      <c r="C364" s="1"/>
      <c r="G364" s="1"/>
      <c r="H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2">
      <c r="A365" s="1"/>
      <c r="C365" s="1"/>
      <c r="G365" s="1"/>
      <c r="H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x14ac:dyDescent="0.2">
      <c r="A366" s="1"/>
      <c r="C366" s="1"/>
      <c r="G366" s="1"/>
      <c r="H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x14ac:dyDescent="0.2">
      <c r="A367" s="1"/>
      <c r="C367" s="1"/>
      <c r="G367" s="1"/>
      <c r="H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x14ac:dyDescent="0.2">
      <c r="A368" s="1"/>
      <c r="C368" s="1"/>
      <c r="G368" s="1"/>
      <c r="H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x14ac:dyDescent="0.2">
      <c r="A369" s="1"/>
      <c r="C369" s="1"/>
      <c r="G369" s="1"/>
      <c r="H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x14ac:dyDescent="0.2">
      <c r="A370" s="1"/>
      <c r="C370" s="1"/>
      <c r="G370" s="1"/>
      <c r="H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x14ac:dyDescent="0.2">
      <c r="A371" s="1"/>
      <c r="C371" s="1"/>
      <c r="G371" s="1"/>
      <c r="H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x14ac:dyDescent="0.2">
      <c r="A372" s="1"/>
      <c r="C372" s="1"/>
      <c r="G372" s="1"/>
      <c r="H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x14ac:dyDescent="0.2">
      <c r="A373" s="1"/>
      <c r="C373" s="1"/>
      <c r="G373" s="1"/>
      <c r="H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x14ac:dyDescent="0.2">
      <c r="A374" s="1"/>
      <c r="C374" s="1"/>
      <c r="G374" s="1"/>
      <c r="H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x14ac:dyDescent="0.2">
      <c r="A375" s="1"/>
      <c r="C375" s="1"/>
      <c r="G375" s="1"/>
      <c r="H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x14ac:dyDescent="0.2">
      <c r="A376" s="1"/>
      <c r="C376" s="1"/>
      <c r="G376" s="1"/>
      <c r="H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2">
      <c r="A377" s="1"/>
      <c r="C377" s="1"/>
      <c r="G377" s="1"/>
      <c r="H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x14ac:dyDescent="0.2">
      <c r="A378" s="1"/>
      <c r="C378" s="1"/>
      <c r="G378" s="1"/>
      <c r="H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x14ac:dyDescent="0.2">
      <c r="A379" s="1"/>
      <c r="C379" s="1"/>
      <c r="G379" s="1"/>
      <c r="H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x14ac:dyDescent="0.2">
      <c r="A380" s="1"/>
      <c r="C380" s="1"/>
      <c r="G380" s="1"/>
      <c r="H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x14ac:dyDescent="0.2">
      <c r="A381" s="1"/>
      <c r="C381" s="1"/>
      <c r="G381" s="1"/>
      <c r="H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x14ac:dyDescent="0.2">
      <c r="A382" s="1"/>
      <c r="C382" s="1"/>
      <c r="G382" s="1"/>
      <c r="H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x14ac:dyDescent="0.2">
      <c r="A383" s="1"/>
      <c r="C383" s="1"/>
      <c r="G383" s="1"/>
      <c r="H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x14ac:dyDescent="0.2">
      <c r="A384" s="1"/>
      <c r="C384" s="1"/>
      <c r="G384" s="1"/>
      <c r="H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2">
      <c r="A385" s="1"/>
      <c r="C385" s="1"/>
      <c r="G385" s="1"/>
      <c r="H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x14ac:dyDescent="0.2">
      <c r="A386" s="1"/>
      <c r="C386" s="1"/>
      <c r="G386" s="1"/>
      <c r="H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2">
      <c r="A387" s="1"/>
      <c r="C387" s="1"/>
      <c r="G387" s="1"/>
      <c r="H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x14ac:dyDescent="0.2">
      <c r="A388" s="1"/>
      <c r="C388" s="1"/>
      <c r="G388" s="1"/>
      <c r="H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x14ac:dyDescent="0.2">
      <c r="A389" s="1"/>
      <c r="C389" s="1"/>
      <c r="G389" s="1"/>
      <c r="H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2">
      <c r="A390" s="1"/>
      <c r="C390" s="1"/>
      <c r="G390" s="1"/>
      <c r="H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x14ac:dyDescent="0.2">
      <c r="A391" s="1"/>
      <c r="C391" s="1"/>
      <c r="G391" s="1"/>
      <c r="H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x14ac:dyDescent="0.2">
      <c r="A392" s="1"/>
      <c r="C392" s="1"/>
      <c r="G392" s="1"/>
      <c r="H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2">
      <c r="A393" s="1"/>
      <c r="C393" s="1"/>
      <c r="G393" s="1"/>
      <c r="H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x14ac:dyDescent="0.2">
      <c r="A394" s="1"/>
      <c r="C394" s="1"/>
      <c r="G394" s="1"/>
      <c r="H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x14ac:dyDescent="0.2">
      <c r="A395" s="1"/>
      <c r="C395" s="1"/>
      <c r="G395" s="1"/>
      <c r="H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2">
      <c r="A396" s="1"/>
      <c r="C396" s="1"/>
      <c r="G396" s="1"/>
      <c r="H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x14ac:dyDescent="0.2">
      <c r="A397" s="1"/>
      <c r="C397" s="1"/>
      <c r="G397" s="1"/>
      <c r="H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2">
      <c r="A398" s="1"/>
      <c r="C398" s="1"/>
      <c r="G398" s="1"/>
      <c r="H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x14ac:dyDescent="0.2">
      <c r="A399" s="1"/>
      <c r="C399" s="1"/>
      <c r="G399" s="1"/>
      <c r="H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2">
      <c r="A400" s="1"/>
      <c r="C400" s="1"/>
      <c r="G400" s="1"/>
      <c r="H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x14ac:dyDescent="0.2">
      <c r="A401" s="1"/>
      <c r="C401" s="1"/>
      <c r="G401" s="1"/>
      <c r="H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2">
      <c r="A402" s="1"/>
      <c r="C402" s="1"/>
      <c r="G402" s="1"/>
      <c r="H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x14ac:dyDescent="0.2">
      <c r="A403" s="1"/>
      <c r="C403" s="1"/>
      <c r="G403" s="1"/>
      <c r="H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x14ac:dyDescent="0.2">
      <c r="A404" s="1"/>
      <c r="C404" s="1"/>
      <c r="G404" s="1"/>
      <c r="H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2">
      <c r="A405" s="1"/>
      <c r="C405" s="1"/>
      <c r="G405" s="1"/>
      <c r="H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2">
      <c r="A406" s="1"/>
      <c r="C406" s="1"/>
      <c r="G406" s="1"/>
      <c r="H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x14ac:dyDescent="0.2">
      <c r="A407" s="1"/>
      <c r="C407" s="1"/>
      <c r="G407" s="1"/>
      <c r="H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x14ac:dyDescent="0.2">
      <c r="A408" s="1"/>
      <c r="C408" s="1"/>
      <c r="G408" s="1"/>
      <c r="H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2">
      <c r="A409" s="1"/>
      <c r="C409" s="1"/>
      <c r="G409" s="1"/>
      <c r="H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x14ac:dyDescent="0.2">
      <c r="A410" s="1"/>
      <c r="C410" s="1"/>
      <c r="G410" s="1"/>
      <c r="H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x14ac:dyDescent="0.2">
      <c r="A411" s="1"/>
      <c r="C411" s="1"/>
      <c r="G411" s="1"/>
      <c r="H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x14ac:dyDescent="0.2">
      <c r="A412" s="1"/>
      <c r="C412" s="1"/>
      <c r="G412" s="1"/>
      <c r="H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x14ac:dyDescent="0.2">
      <c r="A413" s="1"/>
      <c r="C413" s="1"/>
      <c r="G413" s="1"/>
      <c r="H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x14ac:dyDescent="0.2">
      <c r="A414" s="1"/>
      <c r="C414" s="1"/>
      <c r="G414" s="1"/>
      <c r="H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x14ac:dyDescent="0.2">
      <c r="A415" s="1"/>
      <c r="C415" s="1"/>
      <c r="G415" s="1"/>
      <c r="H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x14ac:dyDescent="0.2">
      <c r="A416" s="1"/>
      <c r="C416" s="1"/>
      <c r="G416" s="1"/>
      <c r="H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x14ac:dyDescent="0.2">
      <c r="A417" s="1"/>
      <c r="C417" s="1"/>
      <c r="G417" s="1"/>
      <c r="H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x14ac:dyDescent="0.2">
      <c r="A418" s="1"/>
      <c r="C418" s="1"/>
      <c r="G418" s="1"/>
      <c r="H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2">
      <c r="A419" s="1"/>
      <c r="C419" s="1"/>
      <c r="G419" s="1"/>
      <c r="H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x14ac:dyDescent="0.2">
      <c r="A420" s="1"/>
      <c r="C420" s="1"/>
      <c r="G420" s="1"/>
      <c r="H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x14ac:dyDescent="0.2">
      <c r="A421" s="1"/>
      <c r="C421" s="1"/>
      <c r="G421" s="1"/>
      <c r="H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x14ac:dyDescent="0.2">
      <c r="A422" s="1"/>
      <c r="C422" s="1"/>
      <c r="G422" s="1"/>
      <c r="H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x14ac:dyDescent="0.2">
      <c r="A423" s="1"/>
      <c r="C423" s="1"/>
      <c r="G423" s="1"/>
      <c r="H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x14ac:dyDescent="0.2">
      <c r="A424" s="1"/>
      <c r="C424" s="1"/>
      <c r="G424" s="1"/>
      <c r="H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x14ac:dyDescent="0.2">
      <c r="A425" s="1"/>
      <c r="C425" s="1"/>
      <c r="G425" s="1"/>
      <c r="H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x14ac:dyDescent="0.2">
      <c r="A426" s="1"/>
      <c r="C426" s="1"/>
      <c r="G426" s="1"/>
      <c r="H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x14ac:dyDescent="0.2">
      <c r="A427" s="1"/>
      <c r="C427" s="1"/>
      <c r="G427" s="1"/>
      <c r="H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x14ac:dyDescent="0.2">
      <c r="A428" s="1"/>
      <c r="C428" s="1"/>
      <c r="G428" s="1"/>
      <c r="H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x14ac:dyDescent="0.2">
      <c r="A429" s="1"/>
      <c r="C429" s="1"/>
      <c r="G429" s="1"/>
      <c r="H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x14ac:dyDescent="0.2">
      <c r="A430" s="1"/>
      <c r="C430" s="1"/>
      <c r="G430" s="1"/>
      <c r="H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x14ac:dyDescent="0.2">
      <c r="A431" s="1"/>
      <c r="C431" s="1"/>
      <c r="G431" s="1"/>
      <c r="H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x14ac:dyDescent="0.2">
      <c r="A432" s="1"/>
      <c r="C432" s="1"/>
      <c r="G432" s="1"/>
      <c r="H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x14ac:dyDescent="0.2">
      <c r="A433" s="1"/>
      <c r="C433" s="1"/>
      <c r="G433" s="1"/>
      <c r="H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x14ac:dyDescent="0.2">
      <c r="A434" s="1"/>
      <c r="C434" s="1"/>
      <c r="G434" s="1"/>
      <c r="H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x14ac:dyDescent="0.2">
      <c r="A435" s="1"/>
      <c r="C435" s="1"/>
      <c r="G435" s="1"/>
      <c r="H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2">
      <c r="A436" s="1"/>
      <c r="C436" s="1"/>
      <c r="G436" s="1"/>
      <c r="H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x14ac:dyDescent="0.2">
      <c r="A437" s="1"/>
      <c r="C437" s="1"/>
      <c r="G437" s="1"/>
      <c r="H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x14ac:dyDescent="0.2">
      <c r="A438" s="1"/>
      <c r="C438" s="1"/>
      <c r="G438" s="1"/>
      <c r="H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x14ac:dyDescent="0.2">
      <c r="A439" s="1"/>
      <c r="C439" s="1"/>
      <c r="G439" s="1"/>
      <c r="H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x14ac:dyDescent="0.2">
      <c r="A440" s="1"/>
      <c r="C440" s="1"/>
      <c r="G440" s="1"/>
      <c r="H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2">
      <c r="A441" s="1"/>
      <c r="C441" s="1"/>
      <c r="G441" s="1"/>
      <c r="H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x14ac:dyDescent="0.2">
      <c r="A442" s="1"/>
      <c r="C442" s="1"/>
      <c r="G442" s="1"/>
      <c r="H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x14ac:dyDescent="0.2">
      <c r="A443" s="1"/>
      <c r="C443" s="1"/>
      <c r="G443" s="1"/>
      <c r="H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x14ac:dyDescent="0.2">
      <c r="A444" s="1"/>
      <c r="C444" s="1"/>
      <c r="G444" s="1"/>
      <c r="H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x14ac:dyDescent="0.2">
      <c r="A445" s="1"/>
      <c r="C445" s="1"/>
      <c r="G445" s="1"/>
      <c r="H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x14ac:dyDescent="0.2">
      <c r="A446" s="1"/>
      <c r="C446" s="1"/>
      <c r="G446" s="1"/>
      <c r="H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x14ac:dyDescent="0.2">
      <c r="A447" s="1"/>
      <c r="C447" s="1"/>
      <c r="G447" s="1"/>
      <c r="H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x14ac:dyDescent="0.2">
      <c r="A448" s="1"/>
      <c r="C448" s="1"/>
      <c r="G448" s="1"/>
      <c r="H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2">
      <c r="A449" s="1"/>
      <c r="C449" s="1"/>
      <c r="G449" s="1"/>
      <c r="H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x14ac:dyDescent="0.2">
      <c r="A450" s="1"/>
      <c r="C450" s="1"/>
      <c r="G450" s="1"/>
      <c r="H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x14ac:dyDescent="0.2">
      <c r="A451" s="1"/>
      <c r="C451" s="1"/>
      <c r="G451" s="1"/>
      <c r="H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x14ac:dyDescent="0.2">
      <c r="A452" s="1"/>
      <c r="C452" s="1"/>
      <c r="G452" s="1"/>
      <c r="H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x14ac:dyDescent="0.2">
      <c r="A453" s="1"/>
      <c r="C453" s="1"/>
      <c r="G453" s="1"/>
      <c r="H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x14ac:dyDescent="0.2">
      <c r="A454" s="1"/>
      <c r="C454" s="1"/>
      <c r="G454" s="1"/>
      <c r="H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x14ac:dyDescent="0.2">
      <c r="A455" s="1"/>
      <c r="C455" s="1"/>
      <c r="G455" s="1"/>
      <c r="H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x14ac:dyDescent="0.2">
      <c r="A456" s="1"/>
      <c r="C456" s="1"/>
      <c r="G456" s="1"/>
      <c r="H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x14ac:dyDescent="0.2">
      <c r="A457" s="1"/>
      <c r="C457" s="1"/>
      <c r="G457" s="1"/>
      <c r="H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x14ac:dyDescent="0.2">
      <c r="A458" s="1"/>
      <c r="C458" s="1"/>
      <c r="G458" s="1"/>
      <c r="H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2">
      <c r="A459" s="1"/>
      <c r="C459" s="1"/>
      <c r="G459" s="1"/>
      <c r="H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x14ac:dyDescent="0.2">
      <c r="A460" s="1"/>
      <c r="C460" s="1"/>
      <c r="G460" s="1"/>
      <c r="H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2">
      <c r="A461" s="1"/>
      <c r="C461" s="1"/>
      <c r="G461" s="1"/>
      <c r="H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x14ac:dyDescent="0.2">
      <c r="A462" s="1"/>
      <c r="C462" s="1"/>
      <c r="G462" s="1"/>
      <c r="H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x14ac:dyDescent="0.2">
      <c r="A463" s="1"/>
      <c r="C463" s="1"/>
      <c r="G463" s="1"/>
      <c r="H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x14ac:dyDescent="0.2">
      <c r="A464" s="1"/>
      <c r="C464" s="1"/>
      <c r="G464" s="1"/>
      <c r="H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2">
      <c r="A465" s="1"/>
      <c r="C465" s="1"/>
      <c r="G465" s="1"/>
      <c r="H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2">
      <c r="A466" s="1"/>
      <c r="C466" s="1"/>
      <c r="G466" s="1"/>
      <c r="H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2">
      <c r="A467" s="1"/>
      <c r="C467" s="1"/>
      <c r="G467" s="1"/>
      <c r="H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2">
      <c r="A468" s="1"/>
      <c r="C468" s="1"/>
      <c r="G468" s="1"/>
      <c r="H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2">
      <c r="A469" s="1"/>
      <c r="C469" s="1"/>
      <c r="G469" s="1"/>
      <c r="H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2">
      <c r="A470" s="1"/>
      <c r="C470" s="1"/>
      <c r="G470" s="1"/>
      <c r="H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x14ac:dyDescent="0.2">
      <c r="A471" s="1"/>
      <c r="C471" s="1"/>
      <c r="G471" s="1"/>
      <c r="H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2">
      <c r="A472" s="1"/>
      <c r="C472" s="1"/>
      <c r="G472" s="1"/>
      <c r="H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2">
      <c r="A473" s="1"/>
      <c r="C473" s="1"/>
      <c r="G473" s="1"/>
      <c r="H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x14ac:dyDescent="0.2">
      <c r="A474" s="1"/>
      <c r="C474" s="1"/>
      <c r="G474" s="1"/>
      <c r="H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2">
      <c r="A475" s="1"/>
      <c r="C475" s="1"/>
      <c r="G475" s="1"/>
      <c r="H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2">
      <c r="A476" s="1"/>
      <c r="C476" s="1"/>
      <c r="G476" s="1"/>
      <c r="H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2">
      <c r="A477" s="1"/>
      <c r="C477" s="1"/>
      <c r="G477" s="1"/>
      <c r="H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x14ac:dyDescent="0.2">
      <c r="A478" s="1"/>
      <c r="C478" s="1"/>
      <c r="G478" s="1"/>
      <c r="H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x14ac:dyDescent="0.2">
      <c r="A479" s="1"/>
      <c r="C479" s="1"/>
      <c r="G479" s="1"/>
      <c r="H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2">
      <c r="A480" s="1"/>
      <c r="C480" s="1"/>
      <c r="G480" s="1"/>
      <c r="H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x14ac:dyDescent="0.2">
      <c r="A481" s="1"/>
      <c r="C481" s="1"/>
      <c r="G481" s="1"/>
      <c r="H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2">
      <c r="A482" s="1"/>
      <c r="C482" s="1"/>
      <c r="G482" s="1"/>
      <c r="H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x14ac:dyDescent="0.2">
      <c r="A483" s="1"/>
      <c r="C483" s="1"/>
      <c r="G483" s="1"/>
      <c r="H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x14ac:dyDescent="0.2">
      <c r="A484" s="1"/>
      <c r="C484" s="1"/>
      <c r="G484" s="1"/>
      <c r="H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x14ac:dyDescent="0.2">
      <c r="A485" s="1"/>
      <c r="C485" s="1"/>
      <c r="G485" s="1"/>
      <c r="H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x14ac:dyDescent="0.2">
      <c r="A486" s="1"/>
      <c r="C486" s="1"/>
      <c r="G486" s="1"/>
      <c r="H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2">
      <c r="A487" s="1"/>
      <c r="C487" s="1"/>
      <c r="G487" s="1"/>
      <c r="H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x14ac:dyDescent="0.2">
      <c r="A488" s="1"/>
      <c r="C488" s="1"/>
      <c r="G488" s="1"/>
      <c r="H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x14ac:dyDescent="0.2">
      <c r="A489" s="1"/>
      <c r="C489" s="1"/>
      <c r="G489" s="1"/>
      <c r="H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x14ac:dyDescent="0.2">
      <c r="A490" s="1"/>
      <c r="C490" s="1"/>
      <c r="G490" s="1"/>
      <c r="H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x14ac:dyDescent="0.2">
      <c r="A491" s="1"/>
      <c r="C491" s="1"/>
      <c r="G491" s="1"/>
      <c r="H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x14ac:dyDescent="0.2">
      <c r="A492" s="1"/>
      <c r="C492" s="1"/>
      <c r="G492" s="1"/>
      <c r="H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x14ac:dyDescent="0.2">
      <c r="A493" s="1"/>
      <c r="C493" s="1"/>
      <c r="G493" s="1"/>
      <c r="H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x14ac:dyDescent="0.2">
      <c r="A494" s="1"/>
      <c r="C494" s="1"/>
      <c r="G494" s="1"/>
      <c r="H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x14ac:dyDescent="0.2">
      <c r="A495" s="1"/>
      <c r="C495" s="1"/>
      <c r="G495" s="1"/>
      <c r="H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x14ac:dyDescent="0.2">
      <c r="A496" s="1"/>
      <c r="C496" s="1"/>
      <c r="G496" s="1"/>
      <c r="H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x14ac:dyDescent="0.2">
      <c r="A497" s="1"/>
      <c r="C497" s="1"/>
      <c r="G497" s="1"/>
      <c r="H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x14ac:dyDescent="0.2">
      <c r="A498" s="1"/>
      <c r="C498" s="1"/>
      <c r="G498" s="1"/>
      <c r="H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2">
      <c r="A499" s="1"/>
      <c r="C499" s="1"/>
      <c r="G499" s="1"/>
      <c r="H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x14ac:dyDescent="0.2">
      <c r="A500" s="1"/>
      <c r="C500" s="1"/>
      <c r="G500" s="1"/>
      <c r="H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x14ac:dyDescent="0.2">
      <c r="A501" s="1"/>
      <c r="C501" s="1"/>
      <c r="G501" s="1"/>
      <c r="H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x14ac:dyDescent="0.2">
      <c r="A502" s="1"/>
      <c r="C502" s="1"/>
      <c r="G502" s="1"/>
      <c r="H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x14ac:dyDescent="0.2">
      <c r="A503" s="1"/>
      <c r="C503" s="1"/>
      <c r="G503" s="1"/>
      <c r="H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x14ac:dyDescent="0.2">
      <c r="A504" s="1"/>
      <c r="C504" s="1"/>
      <c r="G504" s="1"/>
      <c r="H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x14ac:dyDescent="0.2">
      <c r="A505" s="1"/>
      <c r="C505" s="1"/>
      <c r="G505" s="1"/>
      <c r="H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x14ac:dyDescent="0.2">
      <c r="A506" s="1"/>
      <c r="C506" s="1"/>
      <c r="G506" s="1"/>
      <c r="H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x14ac:dyDescent="0.2">
      <c r="A507" s="1"/>
      <c r="C507" s="1"/>
      <c r="G507" s="1"/>
      <c r="H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x14ac:dyDescent="0.2">
      <c r="A508" s="1"/>
      <c r="C508" s="1"/>
      <c r="G508" s="1"/>
      <c r="H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x14ac:dyDescent="0.2">
      <c r="A509" s="1"/>
      <c r="C509" s="1"/>
      <c r="G509" s="1"/>
      <c r="H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x14ac:dyDescent="0.2">
      <c r="A510" s="1"/>
      <c r="C510" s="1"/>
      <c r="G510" s="1"/>
      <c r="H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x14ac:dyDescent="0.2">
      <c r="A511" s="1"/>
      <c r="C511" s="1"/>
      <c r="G511" s="1"/>
      <c r="H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x14ac:dyDescent="0.2">
      <c r="A512" s="1"/>
      <c r="C512" s="1"/>
      <c r="G512" s="1"/>
      <c r="H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x14ac:dyDescent="0.2">
      <c r="A513" s="1"/>
      <c r="C513" s="1"/>
      <c r="G513" s="1"/>
      <c r="H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x14ac:dyDescent="0.2">
      <c r="A514" s="1"/>
      <c r="C514" s="1"/>
      <c r="G514" s="1"/>
      <c r="H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x14ac:dyDescent="0.2">
      <c r="A515" s="1"/>
      <c r="C515" s="1"/>
      <c r="G515" s="1"/>
      <c r="H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x14ac:dyDescent="0.2">
      <c r="A516" s="1"/>
      <c r="C516" s="1"/>
      <c r="G516" s="1"/>
      <c r="H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x14ac:dyDescent="0.2">
      <c r="A517" s="1"/>
      <c r="C517" s="1"/>
      <c r="G517" s="1"/>
      <c r="H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x14ac:dyDescent="0.2">
      <c r="A518" s="1"/>
      <c r="C518" s="1"/>
      <c r="G518" s="1"/>
      <c r="H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x14ac:dyDescent="0.2">
      <c r="A519" s="1"/>
      <c r="C519" s="1"/>
      <c r="G519" s="1"/>
      <c r="H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x14ac:dyDescent="0.2">
      <c r="A520" s="1"/>
      <c r="C520" s="1"/>
      <c r="G520" s="1"/>
      <c r="H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x14ac:dyDescent="0.2">
      <c r="A521" s="1"/>
      <c r="C521" s="1"/>
      <c r="G521" s="1"/>
      <c r="H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x14ac:dyDescent="0.2">
      <c r="A522" s="1"/>
      <c r="C522" s="1"/>
      <c r="G522" s="1"/>
      <c r="H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x14ac:dyDescent="0.2">
      <c r="A523" s="1"/>
      <c r="C523" s="1"/>
      <c r="G523" s="1"/>
      <c r="H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x14ac:dyDescent="0.2">
      <c r="A524" s="1"/>
      <c r="C524" s="1"/>
      <c r="G524" s="1"/>
      <c r="H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x14ac:dyDescent="0.2">
      <c r="A525" s="1"/>
      <c r="C525" s="1"/>
      <c r="G525" s="1"/>
      <c r="H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x14ac:dyDescent="0.2">
      <c r="A526" s="1"/>
      <c r="C526" s="1"/>
      <c r="G526" s="1"/>
      <c r="H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x14ac:dyDescent="0.2">
      <c r="A527" s="1"/>
      <c r="C527" s="1"/>
      <c r="G527" s="1"/>
      <c r="H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x14ac:dyDescent="0.2">
      <c r="A528" s="1"/>
      <c r="C528" s="1"/>
      <c r="G528" s="1"/>
      <c r="H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2">
      <c r="A529" s="1"/>
      <c r="C529" s="1"/>
      <c r="G529" s="1"/>
      <c r="H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x14ac:dyDescent="0.2">
      <c r="A530" s="1"/>
      <c r="C530" s="1"/>
      <c r="G530" s="1"/>
      <c r="H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x14ac:dyDescent="0.2">
      <c r="A531" s="1"/>
      <c r="C531" s="1"/>
      <c r="G531" s="1"/>
      <c r="H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x14ac:dyDescent="0.2">
      <c r="A532" s="1"/>
      <c r="C532" s="1"/>
      <c r="G532" s="1"/>
      <c r="H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x14ac:dyDescent="0.2">
      <c r="A533" s="1"/>
      <c r="C533" s="1"/>
      <c r="G533" s="1"/>
      <c r="H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x14ac:dyDescent="0.2">
      <c r="A534" s="1"/>
      <c r="C534" s="1"/>
      <c r="G534" s="1"/>
      <c r="H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x14ac:dyDescent="0.2">
      <c r="A535" s="1"/>
      <c r="C535" s="1"/>
      <c r="G535" s="1"/>
      <c r="H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x14ac:dyDescent="0.2">
      <c r="A536" s="1"/>
      <c r="C536" s="1"/>
      <c r="G536" s="1"/>
      <c r="H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x14ac:dyDescent="0.2">
      <c r="A537" s="1"/>
      <c r="C537" s="1"/>
      <c r="G537" s="1"/>
      <c r="H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x14ac:dyDescent="0.2">
      <c r="A538" s="1"/>
      <c r="C538" s="1"/>
      <c r="G538" s="1"/>
      <c r="H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x14ac:dyDescent="0.2">
      <c r="A539" s="1"/>
      <c r="C539" s="1"/>
      <c r="G539" s="1"/>
      <c r="H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x14ac:dyDescent="0.2">
      <c r="A540" s="1"/>
      <c r="C540" s="1"/>
      <c r="G540" s="1"/>
      <c r="H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x14ac:dyDescent="0.2">
      <c r="A541" s="1"/>
      <c r="C541" s="1"/>
      <c r="G541" s="1"/>
      <c r="H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x14ac:dyDescent="0.2">
      <c r="A542" s="1"/>
      <c r="C542" s="1"/>
      <c r="G542" s="1"/>
      <c r="H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x14ac:dyDescent="0.2">
      <c r="A543" s="1"/>
      <c r="C543" s="1"/>
      <c r="G543" s="1"/>
      <c r="H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2">
      <c r="A544" s="1"/>
      <c r="C544" s="1"/>
      <c r="G544" s="1"/>
      <c r="H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x14ac:dyDescent="0.2">
      <c r="A545" s="1"/>
      <c r="C545" s="1"/>
      <c r="G545" s="1"/>
      <c r="H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x14ac:dyDescent="0.2">
      <c r="A546" s="1"/>
      <c r="C546" s="1"/>
      <c r="G546" s="1"/>
      <c r="H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x14ac:dyDescent="0.2">
      <c r="A547" s="1"/>
      <c r="C547" s="1"/>
      <c r="G547" s="1"/>
      <c r="H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x14ac:dyDescent="0.2">
      <c r="A548" s="1"/>
      <c r="C548" s="1"/>
      <c r="G548" s="1"/>
      <c r="H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x14ac:dyDescent="0.2">
      <c r="A549" s="1"/>
      <c r="C549" s="1"/>
      <c r="G549" s="1"/>
      <c r="H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x14ac:dyDescent="0.2">
      <c r="A550" s="1"/>
      <c r="C550" s="1"/>
      <c r="G550" s="1"/>
      <c r="H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x14ac:dyDescent="0.2">
      <c r="A551" s="1"/>
      <c r="C551" s="1"/>
      <c r="G551" s="1"/>
      <c r="H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x14ac:dyDescent="0.2">
      <c r="A552" s="1"/>
      <c r="C552" s="1"/>
      <c r="G552" s="1"/>
      <c r="H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x14ac:dyDescent="0.2">
      <c r="A553" s="1"/>
      <c r="C553" s="1"/>
      <c r="G553" s="1"/>
      <c r="H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x14ac:dyDescent="0.2">
      <c r="A554" s="1"/>
      <c r="C554" s="1"/>
      <c r="G554" s="1"/>
      <c r="H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x14ac:dyDescent="0.2">
      <c r="A555" s="1"/>
      <c r="C555" s="1"/>
      <c r="G555" s="1"/>
      <c r="H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x14ac:dyDescent="0.2">
      <c r="A556" s="1"/>
      <c r="C556" s="1"/>
      <c r="G556" s="1"/>
      <c r="H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x14ac:dyDescent="0.2">
      <c r="A557" s="1"/>
      <c r="C557" s="1"/>
      <c r="G557" s="1"/>
      <c r="H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x14ac:dyDescent="0.2">
      <c r="A558" s="1"/>
      <c r="C558" s="1"/>
      <c r="G558" s="1"/>
      <c r="H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x14ac:dyDescent="0.2">
      <c r="A559" s="1"/>
      <c r="C559" s="1"/>
      <c r="G559" s="1"/>
      <c r="H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x14ac:dyDescent="0.2">
      <c r="A560" s="1"/>
      <c r="C560" s="1"/>
      <c r="G560" s="1"/>
      <c r="H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x14ac:dyDescent="0.2">
      <c r="A561" s="1"/>
      <c r="C561" s="1"/>
      <c r="G561" s="1"/>
      <c r="H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x14ac:dyDescent="0.2">
      <c r="A562" s="1"/>
      <c r="C562" s="1"/>
      <c r="G562" s="1"/>
      <c r="H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x14ac:dyDescent="0.2">
      <c r="A563" s="1"/>
      <c r="C563" s="1"/>
      <c r="G563" s="1"/>
      <c r="H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x14ac:dyDescent="0.2">
      <c r="A564" s="1"/>
      <c r="C564" s="1"/>
      <c r="G564" s="1"/>
      <c r="H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x14ac:dyDescent="0.2">
      <c r="A565" s="1"/>
      <c r="C565" s="1"/>
      <c r="G565" s="1"/>
      <c r="H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x14ac:dyDescent="0.2">
      <c r="A566" s="1"/>
      <c r="C566" s="1"/>
      <c r="G566" s="1"/>
      <c r="H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x14ac:dyDescent="0.2">
      <c r="A567" s="1"/>
      <c r="C567" s="1"/>
      <c r="G567" s="1"/>
      <c r="H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x14ac:dyDescent="0.2">
      <c r="A568" s="1"/>
      <c r="C568" s="1"/>
      <c r="G568" s="1"/>
      <c r="H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x14ac:dyDescent="0.2">
      <c r="A569" s="1"/>
      <c r="C569" s="1"/>
      <c r="G569" s="1"/>
      <c r="H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x14ac:dyDescent="0.2">
      <c r="A570" s="1"/>
      <c r="C570" s="1"/>
      <c r="G570" s="1"/>
      <c r="H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x14ac:dyDescent="0.2">
      <c r="A571" s="1"/>
      <c r="C571" s="1"/>
      <c r="G571" s="1"/>
      <c r="H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x14ac:dyDescent="0.2">
      <c r="A572" s="1"/>
      <c r="C572" s="1"/>
      <c r="G572" s="1"/>
      <c r="H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x14ac:dyDescent="0.2">
      <c r="A573" s="1"/>
      <c r="C573" s="1"/>
      <c r="G573" s="1"/>
      <c r="H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x14ac:dyDescent="0.2">
      <c r="A574" s="1"/>
      <c r="C574" s="1"/>
      <c r="G574" s="1"/>
      <c r="H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x14ac:dyDescent="0.2">
      <c r="A575" s="1"/>
      <c r="C575" s="1"/>
      <c r="G575" s="1"/>
      <c r="H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x14ac:dyDescent="0.2">
      <c r="A576" s="1"/>
      <c r="C576" s="1"/>
      <c r="G576" s="1"/>
      <c r="H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x14ac:dyDescent="0.2">
      <c r="A577" s="1"/>
      <c r="C577" s="1"/>
      <c r="G577" s="1"/>
      <c r="H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x14ac:dyDescent="0.2">
      <c r="A578" s="1"/>
      <c r="C578" s="1"/>
      <c r="G578" s="1"/>
      <c r="H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x14ac:dyDescent="0.2">
      <c r="A579" s="1"/>
      <c r="C579" s="1"/>
      <c r="G579" s="1"/>
      <c r="H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x14ac:dyDescent="0.2">
      <c r="A580" s="1"/>
      <c r="C580" s="1"/>
      <c r="G580" s="1"/>
      <c r="H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x14ac:dyDescent="0.2">
      <c r="A581" s="1"/>
      <c r="C581" s="1"/>
      <c r="G581" s="1"/>
      <c r="H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x14ac:dyDescent="0.2">
      <c r="A582" s="1"/>
      <c r="C582" s="1"/>
      <c r="G582" s="1"/>
      <c r="H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x14ac:dyDescent="0.2">
      <c r="A583" s="1"/>
      <c r="C583" s="1"/>
      <c r="G583" s="1"/>
      <c r="H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x14ac:dyDescent="0.2">
      <c r="A584" s="1"/>
      <c r="C584" s="1"/>
      <c r="G584" s="1"/>
      <c r="H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x14ac:dyDescent="0.2">
      <c r="A585" s="1"/>
      <c r="C585" s="1"/>
      <c r="G585" s="1"/>
      <c r="H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x14ac:dyDescent="0.2">
      <c r="A586" s="1"/>
      <c r="C586" s="1"/>
      <c r="G586" s="1"/>
      <c r="H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x14ac:dyDescent="0.2">
      <c r="A587" s="1"/>
      <c r="C587" s="1"/>
      <c r="G587" s="1"/>
      <c r="H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x14ac:dyDescent="0.2">
      <c r="A588" s="1"/>
      <c r="C588" s="1"/>
      <c r="G588" s="1"/>
      <c r="H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x14ac:dyDescent="0.2">
      <c r="A589" s="1"/>
      <c r="C589" s="1"/>
      <c r="G589" s="1"/>
      <c r="H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x14ac:dyDescent="0.2">
      <c r="A590" s="1"/>
      <c r="C590" s="1"/>
      <c r="G590" s="1"/>
      <c r="H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x14ac:dyDescent="0.2">
      <c r="A591" s="1"/>
      <c r="C591" s="1"/>
      <c r="G591" s="1"/>
      <c r="H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x14ac:dyDescent="0.2">
      <c r="A592" s="1"/>
      <c r="C592" s="1"/>
      <c r="G592" s="1"/>
      <c r="H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x14ac:dyDescent="0.2">
      <c r="A593" s="1"/>
      <c r="C593" s="1"/>
      <c r="G593" s="1"/>
      <c r="H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x14ac:dyDescent="0.2">
      <c r="A594" s="1"/>
      <c r="C594" s="1"/>
      <c r="G594" s="1"/>
      <c r="H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x14ac:dyDescent="0.2">
      <c r="A595" s="1"/>
      <c r="C595" s="1"/>
      <c r="G595" s="1"/>
      <c r="H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x14ac:dyDescent="0.2">
      <c r="A596" s="1"/>
      <c r="C596" s="1"/>
      <c r="G596" s="1"/>
      <c r="H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x14ac:dyDescent="0.2">
      <c r="A597" s="1"/>
      <c r="C597" s="1"/>
      <c r="G597" s="1"/>
      <c r="H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x14ac:dyDescent="0.2">
      <c r="A598" s="1"/>
      <c r="C598" s="1"/>
      <c r="G598" s="1"/>
      <c r="H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x14ac:dyDescent="0.2">
      <c r="A599" s="1"/>
      <c r="C599" s="1"/>
      <c r="G599" s="1"/>
      <c r="H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x14ac:dyDescent="0.2">
      <c r="A600" s="1"/>
      <c r="C600" s="1"/>
      <c r="G600" s="1"/>
      <c r="H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x14ac:dyDescent="0.2">
      <c r="A601" s="1"/>
      <c r="C601" s="1"/>
      <c r="G601" s="1"/>
      <c r="H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x14ac:dyDescent="0.2">
      <c r="A602" s="1"/>
      <c r="C602" s="1"/>
      <c r="G602" s="1"/>
      <c r="H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x14ac:dyDescent="0.2">
      <c r="A603" s="1"/>
      <c r="C603" s="1"/>
      <c r="G603" s="1"/>
      <c r="H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x14ac:dyDescent="0.2">
      <c r="A604" s="1"/>
      <c r="C604" s="1"/>
      <c r="G604" s="1"/>
      <c r="H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x14ac:dyDescent="0.2">
      <c r="A605" s="1"/>
      <c r="C605" s="1"/>
      <c r="G605" s="1"/>
      <c r="H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x14ac:dyDescent="0.2">
      <c r="A606" s="1"/>
      <c r="C606" s="1"/>
      <c r="G606" s="1"/>
      <c r="H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x14ac:dyDescent="0.2">
      <c r="A607" s="1"/>
      <c r="C607" s="1"/>
      <c r="G607" s="1"/>
      <c r="H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x14ac:dyDescent="0.2">
      <c r="A608" s="1"/>
      <c r="C608" s="1"/>
      <c r="G608" s="1"/>
      <c r="H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x14ac:dyDescent="0.2">
      <c r="A609" s="1"/>
      <c r="C609" s="1"/>
      <c r="G609" s="1"/>
      <c r="H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x14ac:dyDescent="0.2">
      <c r="A610" s="1"/>
      <c r="C610" s="1"/>
      <c r="G610" s="1"/>
      <c r="H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x14ac:dyDescent="0.2">
      <c r="A611" s="1"/>
      <c r="C611" s="1"/>
      <c r="G611" s="1"/>
      <c r="H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x14ac:dyDescent="0.2">
      <c r="A612" s="1"/>
      <c r="C612" s="1"/>
      <c r="G612" s="1"/>
      <c r="H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x14ac:dyDescent="0.2">
      <c r="A613" s="1"/>
      <c r="C613" s="1"/>
      <c r="G613" s="1"/>
      <c r="H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x14ac:dyDescent="0.2">
      <c r="A614" s="1"/>
      <c r="C614" s="1"/>
      <c r="G614" s="1"/>
      <c r="H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x14ac:dyDescent="0.2">
      <c r="A615" s="1"/>
      <c r="C615" s="1"/>
      <c r="G615" s="1"/>
      <c r="H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x14ac:dyDescent="0.2">
      <c r="A616" s="1"/>
      <c r="C616" s="1"/>
      <c r="G616" s="1"/>
      <c r="H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x14ac:dyDescent="0.2">
      <c r="A617" s="1"/>
      <c r="C617" s="1"/>
      <c r="G617" s="1"/>
      <c r="H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x14ac:dyDescent="0.2">
      <c r="A618" s="1"/>
      <c r="C618" s="1"/>
      <c r="G618" s="1"/>
      <c r="H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x14ac:dyDescent="0.2">
      <c r="A619" s="1"/>
      <c r="C619" s="1"/>
      <c r="G619" s="1"/>
      <c r="H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x14ac:dyDescent="0.2">
      <c r="A620" s="1"/>
      <c r="C620" s="1"/>
      <c r="G620" s="1"/>
      <c r="H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2">
      <c r="A621" s="1"/>
      <c r="C621" s="1"/>
      <c r="G621" s="1"/>
      <c r="H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x14ac:dyDescent="0.2">
      <c r="A622" s="1"/>
      <c r="C622" s="1"/>
      <c r="G622" s="1"/>
      <c r="H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x14ac:dyDescent="0.2">
      <c r="A623" s="1"/>
      <c r="C623" s="1"/>
      <c r="G623" s="1"/>
      <c r="H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x14ac:dyDescent="0.2">
      <c r="A624" s="1"/>
      <c r="C624" s="1"/>
      <c r="G624" s="1"/>
      <c r="H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x14ac:dyDescent="0.2">
      <c r="A625" s="1"/>
      <c r="C625" s="1"/>
      <c r="G625" s="1"/>
      <c r="H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x14ac:dyDescent="0.2">
      <c r="A626" s="1"/>
      <c r="C626" s="1"/>
      <c r="G626" s="1"/>
      <c r="H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x14ac:dyDescent="0.2">
      <c r="A627" s="1"/>
      <c r="C627" s="1"/>
      <c r="G627" s="1"/>
      <c r="H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x14ac:dyDescent="0.2">
      <c r="A628" s="1"/>
      <c r="C628" s="1"/>
      <c r="G628" s="1"/>
      <c r="H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x14ac:dyDescent="0.2">
      <c r="A629" s="1"/>
      <c r="C629" s="1"/>
      <c r="G629" s="1"/>
      <c r="H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x14ac:dyDescent="0.2">
      <c r="A630" s="1"/>
      <c r="C630" s="1"/>
      <c r="G630" s="1"/>
      <c r="H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x14ac:dyDescent="0.2">
      <c r="A631" s="1"/>
      <c r="C631" s="1"/>
      <c r="G631" s="1"/>
      <c r="H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x14ac:dyDescent="0.2">
      <c r="A632" s="1"/>
      <c r="C632" s="1"/>
      <c r="G632" s="1"/>
      <c r="H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x14ac:dyDescent="0.2">
      <c r="A633" s="1"/>
      <c r="C633" s="1"/>
      <c r="G633" s="1"/>
      <c r="H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x14ac:dyDescent="0.2">
      <c r="A634" s="1"/>
      <c r="C634" s="1"/>
      <c r="G634" s="1"/>
      <c r="H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x14ac:dyDescent="0.2">
      <c r="A635" s="1"/>
      <c r="C635" s="1"/>
      <c r="G635" s="1"/>
      <c r="H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x14ac:dyDescent="0.2">
      <c r="A636" s="1"/>
      <c r="C636" s="1"/>
      <c r="G636" s="1"/>
      <c r="H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x14ac:dyDescent="0.2">
      <c r="A637" s="1"/>
      <c r="C637" s="1"/>
      <c r="G637" s="1"/>
      <c r="H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x14ac:dyDescent="0.2">
      <c r="A638" s="1"/>
      <c r="C638" s="1"/>
      <c r="G638" s="1"/>
      <c r="H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x14ac:dyDescent="0.2">
      <c r="A639" s="1"/>
      <c r="C639" s="1"/>
      <c r="G639" s="1"/>
      <c r="H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x14ac:dyDescent="0.2">
      <c r="A640" s="1"/>
      <c r="C640" s="1"/>
      <c r="G640" s="1"/>
      <c r="H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x14ac:dyDescent="0.2">
      <c r="A641" s="1"/>
      <c r="C641" s="1"/>
      <c r="G641" s="1"/>
      <c r="H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x14ac:dyDescent="0.2">
      <c r="A642" s="1"/>
      <c r="C642" s="1"/>
      <c r="G642" s="1"/>
      <c r="H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x14ac:dyDescent="0.2">
      <c r="A643" s="1"/>
      <c r="C643" s="1"/>
      <c r="G643" s="1"/>
      <c r="H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x14ac:dyDescent="0.2">
      <c r="A644" s="1"/>
      <c r="C644" s="1"/>
      <c r="G644" s="1"/>
      <c r="H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x14ac:dyDescent="0.2">
      <c r="A645" s="1"/>
      <c r="C645" s="1"/>
      <c r="G645" s="1"/>
      <c r="H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x14ac:dyDescent="0.2">
      <c r="A646" s="1"/>
      <c r="C646" s="1"/>
      <c r="G646" s="1"/>
      <c r="H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x14ac:dyDescent="0.2">
      <c r="A647" s="1"/>
      <c r="C647" s="1"/>
      <c r="G647" s="1"/>
      <c r="H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x14ac:dyDescent="0.2">
      <c r="A648" s="1"/>
      <c r="C648" s="1"/>
      <c r="G648" s="1"/>
      <c r="H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x14ac:dyDescent="0.2">
      <c r="A649" s="1"/>
      <c r="C649" s="1"/>
      <c r="G649" s="1"/>
      <c r="H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x14ac:dyDescent="0.2">
      <c r="A650" s="1"/>
      <c r="C650" s="1"/>
      <c r="G650" s="1"/>
      <c r="H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x14ac:dyDescent="0.2">
      <c r="A651" s="1"/>
      <c r="C651" s="1"/>
      <c r="G651" s="1"/>
      <c r="H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x14ac:dyDescent="0.2">
      <c r="A652" s="1"/>
      <c r="C652" s="1"/>
      <c r="G652" s="1"/>
      <c r="H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x14ac:dyDescent="0.2">
      <c r="A653" s="1"/>
      <c r="C653" s="1"/>
      <c r="G653" s="1"/>
      <c r="H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x14ac:dyDescent="0.2">
      <c r="A654" s="1"/>
      <c r="C654" s="1"/>
      <c r="G654" s="1"/>
      <c r="H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x14ac:dyDescent="0.2">
      <c r="A655" s="1"/>
      <c r="C655" s="1"/>
      <c r="G655" s="1"/>
      <c r="H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x14ac:dyDescent="0.2">
      <c r="A656" s="1"/>
      <c r="C656" s="1"/>
      <c r="G656" s="1"/>
      <c r="H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x14ac:dyDescent="0.2">
      <c r="A657" s="1"/>
      <c r="C657" s="1"/>
      <c r="G657" s="1"/>
      <c r="H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x14ac:dyDescent="0.2">
      <c r="A658" s="1"/>
      <c r="C658" s="1"/>
      <c r="G658" s="1"/>
      <c r="H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x14ac:dyDescent="0.2">
      <c r="A659" s="1"/>
      <c r="C659" s="1"/>
      <c r="G659" s="1"/>
      <c r="H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x14ac:dyDescent="0.2">
      <c r="A660" s="1"/>
      <c r="C660" s="1"/>
      <c r="G660" s="1"/>
      <c r="H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x14ac:dyDescent="0.2">
      <c r="A661" s="1"/>
      <c r="C661" s="1"/>
      <c r="G661" s="1"/>
      <c r="H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x14ac:dyDescent="0.2">
      <c r="A662" s="1"/>
      <c r="C662" s="1"/>
      <c r="G662" s="1"/>
      <c r="H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x14ac:dyDescent="0.2">
      <c r="A663" s="1"/>
      <c r="C663" s="1"/>
      <c r="G663" s="1"/>
      <c r="H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x14ac:dyDescent="0.2">
      <c r="A664" s="1"/>
      <c r="C664" s="1"/>
      <c r="G664" s="1"/>
      <c r="H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x14ac:dyDescent="0.2">
      <c r="A665" s="1"/>
      <c r="C665" s="1"/>
      <c r="G665" s="1"/>
      <c r="H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x14ac:dyDescent="0.2">
      <c r="A666" s="1"/>
      <c r="C666" s="1"/>
      <c r="G666" s="1"/>
      <c r="H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x14ac:dyDescent="0.2">
      <c r="A667" s="1"/>
      <c r="C667" s="1"/>
      <c r="G667" s="1"/>
      <c r="H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x14ac:dyDescent="0.2">
      <c r="A668" s="1"/>
      <c r="C668" s="1"/>
      <c r="G668" s="1"/>
      <c r="H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x14ac:dyDescent="0.2">
      <c r="A669" s="1"/>
      <c r="C669" s="1"/>
      <c r="G669" s="1"/>
      <c r="H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x14ac:dyDescent="0.2">
      <c r="A670" s="1"/>
      <c r="C670" s="1"/>
      <c r="G670" s="1"/>
      <c r="H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x14ac:dyDescent="0.2">
      <c r="A671" s="1"/>
      <c r="C671" s="1"/>
      <c r="G671" s="1"/>
      <c r="H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x14ac:dyDescent="0.2">
      <c r="A672" s="1"/>
      <c r="C672" s="1"/>
      <c r="G672" s="1"/>
      <c r="H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x14ac:dyDescent="0.2">
      <c r="A673" s="1"/>
      <c r="C673" s="1"/>
      <c r="G673" s="1"/>
      <c r="H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x14ac:dyDescent="0.2">
      <c r="A674" s="1"/>
      <c r="C674" s="1"/>
      <c r="G674" s="1"/>
      <c r="H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x14ac:dyDescent="0.2">
      <c r="A675" s="1"/>
      <c r="C675" s="1"/>
      <c r="G675" s="1"/>
      <c r="H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x14ac:dyDescent="0.2">
      <c r="A676" s="1"/>
      <c r="C676" s="1"/>
      <c r="G676" s="1"/>
      <c r="H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x14ac:dyDescent="0.2">
      <c r="A677" s="1"/>
      <c r="C677" s="1"/>
      <c r="G677" s="1"/>
      <c r="H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x14ac:dyDescent="0.2">
      <c r="A678" s="1"/>
      <c r="C678" s="1"/>
      <c r="G678" s="1"/>
      <c r="H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x14ac:dyDescent="0.2">
      <c r="A679" s="1"/>
      <c r="C679" s="1"/>
      <c r="G679" s="1"/>
      <c r="H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x14ac:dyDescent="0.2">
      <c r="A680" s="1"/>
      <c r="C680" s="1"/>
      <c r="G680" s="1"/>
      <c r="H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x14ac:dyDescent="0.2">
      <c r="A681" s="1"/>
      <c r="C681" s="1"/>
      <c r="G681" s="1"/>
      <c r="H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x14ac:dyDescent="0.2">
      <c r="A682" s="1"/>
      <c r="C682" s="1"/>
      <c r="G682" s="1"/>
      <c r="H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x14ac:dyDescent="0.2">
      <c r="A683" s="1"/>
      <c r="C683" s="1"/>
      <c r="G683" s="1"/>
      <c r="H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x14ac:dyDescent="0.2">
      <c r="A684" s="1"/>
      <c r="C684" s="1"/>
      <c r="G684" s="1"/>
      <c r="H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x14ac:dyDescent="0.2">
      <c r="A685" s="1"/>
      <c r="C685" s="1"/>
      <c r="G685" s="1"/>
      <c r="H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x14ac:dyDescent="0.2">
      <c r="A686" s="1"/>
      <c r="C686" s="1"/>
      <c r="G686" s="1"/>
      <c r="H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x14ac:dyDescent="0.2">
      <c r="A687" s="1"/>
      <c r="C687" s="1"/>
      <c r="G687" s="1"/>
      <c r="H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x14ac:dyDescent="0.2">
      <c r="A688" s="1"/>
      <c r="C688" s="1"/>
      <c r="G688" s="1"/>
      <c r="H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x14ac:dyDescent="0.2">
      <c r="A689" s="1"/>
      <c r="C689" s="1"/>
      <c r="G689" s="1"/>
      <c r="H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x14ac:dyDescent="0.2">
      <c r="A690" s="1"/>
      <c r="C690" s="1"/>
      <c r="G690" s="1"/>
      <c r="H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x14ac:dyDescent="0.2">
      <c r="A691" s="1"/>
      <c r="C691" s="1"/>
      <c r="G691" s="1"/>
      <c r="H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x14ac:dyDescent="0.2">
      <c r="A692" s="1"/>
      <c r="C692" s="1"/>
      <c r="G692" s="1"/>
      <c r="H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x14ac:dyDescent="0.2">
      <c r="A693" s="1"/>
      <c r="C693" s="1"/>
      <c r="G693" s="1"/>
      <c r="H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x14ac:dyDescent="0.2">
      <c r="A694" s="1"/>
      <c r="C694" s="1"/>
      <c r="G694" s="1"/>
      <c r="H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x14ac:dyDescent="0.2">
      <c r="A695" s="1"/>
      <c r="C695" s="1"/>
      <c r="G695" s="1"/>
      <c r="H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x14ac:dyDescent="0.2">
      <c r="A696" s="1"/>
      <c r="C696" s="1"/>
      <c r="G696" s="1"/>
      <c r="H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x14ac:dyDescent="0.2">
      <c r="A697" s="1"/>
      <c r="C697" s="1"/>
      <c r="G697" s="1"/>
      <c r="H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x14ac:dyDescent="0.2">
      <c r="A698" s="1"/>
      <c r="C698" s="1"/>
      <c r="G698" s="1"/>
      <c r="H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x14ac:dyDescent="0.2">
      <c r="A699" s="1"/>
      <c r="C699" s="1"/>
      <c r="G699" s="1"/>
      <c r="H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x14ac:dyDescent="0.2">
      <c r="A700" s="1"/>
      <c r="C700" s="1"/>
      <c r="G700" s="1"/>
      <c r="H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x14ac:dyDescent="0.2">
      <c r="A701" s="1"/>
      <c r="C701" s="1"/>
      <c r="G701" s="1"/>
      <c r="H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x14ac:dyDescent="0.2">
      <c r="A702" s="1"/>
      <c r="C702" s="1"/>
      <c r="G702" s="1"/>
      <c r="H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x14ac:dyDescent="0.2">
      <c r="A703" s="1"/>
      <c r="C703" s="1"/>
      <c r="G703" s="1"/>
      <c r="H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x14ac:dyDescent="0.2">
      <c r="A704" s="1"/>
      <c r="C704" s="1"/>
      <c r="G704" s="1"/>
      <c r="H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x14ac:dyDescent="0.2">
      <c r="A705" s="1"/>
      <c r="C705" s="1"/>
      <c r="G705" s="1"/>
      <c r="H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x14ac:dyDescent="0.2">
      <c r="A706" s="1"/>
      <c r="C706" s="1"/>
      <c r="G706" s="1"/>
      <c r="H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x14ac:dyDescent="0.2">
      <c r="A707" s="1"/>
      <c r="C707" s="1"/>
      <c r="G707" s="1"/>
      <c r="H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x14ac:dyDescent="0.2">
      <c r="A708" s="1"/>
      <c r="C708" s="1"/>
      <c r="G708" s="1"/>
      <c r="H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x14ac:dyDescent="0.2">
      <c r="A709" s="1"/>
      <c r="C709" s="1"/>
      <c r="G709" s="1"/>
      <c r="H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x14ac:dyDescent="0.2">
      <c r="A710" s="1"/>
      <c r="C710" s="1"/>
      <c r="G710" s="1"/>
      <c r="H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x14ac:dyDescent="0.2">
      <c r="A711" s="1"/>
      <c r="C711" s="1"/>
      <c r="G711" s="1"/>
      <c r="H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x14ac:dyDescent="0.2">
      <c r="A712" s="1"/>
      <c r="C712" s="1"/>
      <c r="G712" s="1"/>
      <c r="H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x14ac:dyDescent="0.2">
      <c r="A713" s="1"/>
      <c r="C713" s="1"/>
      <c r="G713" s="1"/>
      <c r="H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x14ac:dyDescent="0.2">
      <c r="A714" s="1"/>
      <c r="C714" s="1"/>
      <c r="G714" s="1"/>
      <c r="H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x14ac:dyDescent="0.2">
      <c r="A715" s="1"/>
      <c r="C715" s="1"/>
      <c r="G715" s="1"/>
      <c r="H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x14ac:dyDescent="0.2">
      <c r="A716" s="1"/>
      <c r="C716" s="1"/>
      <c r="G716" s="1"/>
      <c r="H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x14ac:dyDescent="0.2">
      <c r="A717" s="1"/>
      <c r="C717" s="1"/>
      <c r="G717" s="1"/>
      <c r="H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x14ac:dyDescent="0.2">
      <c r="A718" s="1"/>
      <c r="C718" s="1"/>
      <c r="G718" s="1"/>
      <c r="H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x14ac:dyDescent="0.2">
      <c r="A719" s="1"/>
      <c r="C719" s="1"/>
      <c r="G719" s="1"/>
      <c r="H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x14ac:dyDescent="0.2">
      <c r="A720" s="1"/>
      <c r="C720" s="1"/>
      <c r="G720" s="1"/>
      <c r="H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x14ac:dyDescent="0.2">
      <c r="A721" s="1"/>
      <c r="C721" s="1"/>
      <c r="G721" s="1"/>
      <c r="H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x14ac:dyDescent="0.2">
      <c r="A722" s="1"/>
      <c r="C722" s="1"/>
      <c r="G722" s="1"/>
      <c r="H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x14ac:dyDescent="0.2">
      <c r="A723" s="1"/>
      <c r="C723" s="1"/>
      <c r="G723" s="1"/>
      <c r="H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x14ac:dyDescent="0.2">
      <c r="A724" s="1"/>
      <c r="C724" s="1"/>
      <c r="G724" s="1"/>
      <c r="H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x14ac:dyDescent="0.2">
      <c r="A725" s="1"/>
      <c r="C725" s="1"/>
      <c r="G725" s="1"/>
      <c r="H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x14ac:dyDescent="0.2">
      <c r="A726" s="1"/>
      <c r="C726" s="1"/>
      <c r="G726" s="1"/>
      <c r="H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x14ac:dyDescent="0.2">
      <c r="A727" s="1"/>
      <c r="C727" s="1"/>
      <c r="G727" s="1"/>
      <c r="H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x14ac:dyDescent="0.2">
      <c r="A728" s="1"/>
      <c r="C728" s="1"/>
      <c r="G728" s="1"/>
      <c r="H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x14ac:dyDescent="0.2">
      <c r="A729" s="1"/>
      <c r="C729" s="1"/>
      <c r="G729" s="1"/>
      <c r="H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x14ac:dyDescent="0.2">
      <c r="A730" s="1"/>
      <c r="C730" s="1"/>
      <c r="G730" s="1"/>
      <c r="H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x14ac:dyDescent="0.2">
      <c r="A731" s="1"/>
      <c r="C731" s="1"/>
      <c r="G731" s="1"/>
      <c r="H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x14ac:dyDescent="0.2">
      <c r="A732" s="1"/>
      <c r="C732" s="1"/>
      <c r="G732" s="1"/>
      <c r="H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x14ac:dyDescent="0.2">
      <c r="A733" s="1"/>
      <c r="C733" s="1"/>
      <c r="G733" s="1"/>
      <c r="H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x14ac:dyDescent="0.2">
      <c r="A734" s="1"/>
      <c r="C734" s="1"/>
      <c r="G734" s="1"/>
      <c r="H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x14ac:dyDescent="0.2">
      <c r="A735" s="1"/>
      <c r="C735" s="1"/>
      <c r="G735" s="1"/>
      <c r="H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x14ac:dyDescent="0.2">
      <c r="A736" s="1"/>
      <c r="C736" s="1"/>
      <c r="G736" s="1"/>
      <c r="H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x14ac:dyDescent="0.2">
      <c r="A737" s="1"/>
      <c r="C737" s="1"/>
      <c r="G737" s="1"/>
      <c r="H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x14ac:dyDescent="0.2">
      <c r="A738" s="1"/>
      <c r="C738" s="1"/>
      <c r="G738" s="1"/>
      <c r="H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x14ac:dyDescent="0.2">
      <c r="A739" s="1"/>
      <c r="C739" s="1"/>
      <c r="G739" s="1"/>
      <c r="H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x14ac:dyDescent="0.2">
      <c r="A740" s="1"/>
      <c r="C740" s="1"/>
      <c r="G740" s="1"/>
      <c r="H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x14ac:dyDescent="0.2">
      <c r="A741" s="1"/>
      <c r="C741" s="1"/>
      <c r="G741" s="1"/>
      <c r="H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x14ac:dyDescent="0.2">
      <c r="A742" s="1"/>
      <c r="C742" s="1"/>
      <c r="G742" s="1"/>
      <c r="H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x14ac:dyDescent="0.2">
      <c r="A743" s="1"/>
      <c r="C743" s="1"/>
      <c r="G743" s="1"/>
      <c r="H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x14ac:dyDescent="0.2">
      <c r="A744" s="1"/>
      <c r="C744" s="1"/>
      <c r="G744" s="1"/>
      <c r="H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x14ac:dyDescent="0.2">
      <c r="A745" s="1"/>
      <c r="C745" s="1"/>
      <c r="G745" s="1"/>
      <c r="H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x14ac:dyDescent="0.2">
      <c r="A746" s="1"/>
      <c r="C746" s="1"/>
      <c r="G746" s="1"/>
      <c r="H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x14ac:dyDescent="0.2">
      <c r="A747" s="1"/>
      <c r="C747" s="1"/>
      <c r="G747" s="1"/>
      <c r="H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x14ac:dyDescent="0.2">
      <c r="A748" s="1"/>
      <c r="C748" s="1"/>
      <c r="G748" s="1"/>
      <c r="H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x14ac:dyDescent="0.2">
      <c r="A749" s="1"/>
      <c r="C749" s="1"/>
      <c r="G749" s="1"/>
      <c r="H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x14ac:dyDescent="0.2">
      <c r="A750" s="1"/>
      <c r="C750" s="1"/>
      <c r="G750" s="1"/>
      <c r="H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x14ac:dyDescent="0.2">
      <c r="A751" s="1"/>
      <c r="C751" s="1"/>
      <c r="G751" s="1"/>
      <c r="H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x14ac:dyDescent="0.2">
      <c r="A752" s="1"/>
      <c r="C752" s="1"/>
      <c r="G752" s="1"/>
      <c r="H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x14ac:dyDescent="0.2">
      <c r="A753" s="1"/>
      <c r="C753" s="1"/>
      <c r="G753" s="1"/>
      <c r="H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x14ac:dyDescent="0.2">
      <c r="A754" s="1"/>
      <c r="C754" s="1"/>
      <c r="G754" s="1"/>
      <c r="H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x14ac:dyDescent="0.2">
      <c r="A755" s="1"/>
      <c r="C755" s="1"/>
      <c r="G755" s="1"/>
      <c r="H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x14ac:dyDescent="0.2">
      <c r="A756" s="1"/>
      <c r="C756" s="1"/>
      <c r="G756" s="1"/>
      <c r="H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x14ac:dyDescent="0.2">
      <c r="A757" s="1"/>
      <c r="C757" s="1"/>
      <c r="G757" s="1"/>
      <c r="H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x14ac:dyDescent="0.2">
      <c r="A758" s="1"/>
      <c r="C758" s="1"/>
      <c r="G758" s="1"/>
      <c r="H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x14ac:dyDescent="0.2">
      <c r="A759" s="1"/>
      <c r="C759" s="1"/>
      <c r="G759" s="1"/>
      <c r="H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x14ac:dyDescent="0.2">
      <c r="A760" s="1"/>
      <c r="C760" s="1"/>
      <c r="G760" s="1"/>
      <c r="H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x14ac:dyDescent="0.2">
      <c r="A761" s="1"/>
      <c r="C761" s="1"/>
      <c r="G761" s="1"/>
      <c r="H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x14ac:dyDescent="0.2">
      <c r="A762" s="1"/>
      <c r="C762" s="1"/>
      <c r="G762" s="1"/>
      <c r="H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x14ac:dyDescent="0.2">
      <c r="A763" s="1"/>
      <c r="C763" s="1"/>
      <c r="G763" s="1"/>
      <c r="H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x14ac:dyDescent="0.2">
      <c r="A764" s="1"/>
      <c r="C764" s="1"/>
      <c r="G764" s="1"/>
      <c r="H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x14ac:dyDescent="0.2">
      <c r="A765" s="1"/>
      <c r="C765" s="1"/>
      <c r="G765" s="1"/>
      <c r="H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x14ac:dyDescent="0.2">
      <c r="A766" s="1"/>
      <c r="C766" s="1"/>
      <c r="G766" s="1"/>
      <c r="H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x14ac:dyDescent="0.2">
      <c r="A767" s="1"/>
      <c r="C767" s="1"/>
      <c r="G767" s="1"/>
      <c r="H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x14ac:dyDescent="0.2">
      <c r="A768" s="1"/>
      <c r="C768" s="1"/>
      <c r="G768" s="1"/>
      <c r="H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x14ac:dyDescent="0.2">
      <c r="A769" s="1"/>
      <c r="C769" s="1"/>
      <c r="G769" s="1"/>
      <c r="H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x14ac:dyDescent="0.2">
      <c r="A770" s="1"/>
      <c r="C770" s="1"/>
      <c r="G770" s="1"/>
      <c r="H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x14ac:dyDescent="0.2">
      <c r="A771" s="1"/>
      <c r="C771" s="1"/>
      <c r="G771" s="1"/>
      <c r="H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x14ac:dyDescent="0.2">
      <c r="A772" s="1"/>
      <c r="C772" s="1"/>
      <c r="G772" s="1"/>
      <c r="H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x14ac:dyDescent="0.2">
      <c r="A773" s="1"/>
      <c r="C773" s="1"/>
      <c r="G773" s="1"/>
      <c r="H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x14ac:dyDescent="0.2">
      <c r="A774" s="1"/>
      <c r="C774" s="1"/>
      <c r="G774" s="1"/>
      <c r="H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x14ac:dyDescent="0.2">
      <c r="A775" s="1"/>
      <c r="C775" s="1"/>
      <c r="G775" s="1"/>
      <c r="H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x14ac:dyDescent="0.2">
      <c r="A776" s="1"/>
      <c r="C776" s="1"/>
      <c r="G776" s="1"/>
      <c r="H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x14ac:dyDescent="0.2">
      <c r="A777" s="1"/>
      <c r="C777" s="1"/>
      <c r="G777" s="1"/>
      <c r="H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x14ac:dyDescent="0.2">
      <c r="A778" s="1"/>
      <c r="C778" s="1"/>
      <c r="G778" s="1"/>
      <c r="H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x14ac:dyDescent="0.2">
      <c r="A779" s="1"/>
      <c r="C779" s="1"/>
      <c r="G779" s="1"/>
      <c r="H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x14ac:dyDescent="0.2">
      <c r="A780" s="1"/>
      <c r="C780" s="1"/>
      <c r="G780" s="1"/>
      <c r="H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x14ac:dyDescent="0.2">
      <c r="A781" s="1"/>
      <c r="C781" s="1"/>
      <c r="G781" s="1"/>
      <c r="H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x14ac:dyDescent="0.2">
      <c r="A782" s="1"/>
      <c r="C782" s="1"/>
      <c r="G782" s="1"/>
      <c r="H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x14ac:dyDescent="0.2">
      <c r="A783" s="1"/>
      <c r="C783" s="1"/>
      <c r="G783" s="1"/>
      <c r="H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x14ac:dyDescent="0.2">
      <c r="A784" s="1"/>
      <c r="C784" s="1"/>
      <c r="G784" s="1"/>
      <c r="H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x14ac:dyDescent="0.2">
      <c r="A785" s="1"/>
      <c r="C785" s="1"/>
      <c r="G785" s="1"/>
      <c r="H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x14ac:dyDescent="0.2">
      <c r="A786" s="1"/>
      <c r="C786" s="1"/>
      <c r="G786" s="1"/>
      <c r="H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x14ac:dyDescent="0.2">
      <c r="A787" s="1"/>
      <c r="C787" s="1"/>
      <c r="G787" s="1"/>
      <c r="H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x14ac:dyDescent="0.2">
      <c r="A788" s="1"/>
      <c r="C788" s="1"/>
      <c r="G788" s="1"/>
      <c r="H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x14ac:dyDescent="0.2">
      <c r="A789" s="1"/>
      <c r="C789" s="1"/>
      <c r="G789" s="1"/>
      <c r="H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x14ac:dyDescent="0.2">
      <c r="A790" s="1"/>
      <c r="C790" s="1"/>
      <c r="G790" s="1"/>
      <c r="H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x14ac:dyDescent="0.2">
      <c r="A791" s="1"/>
      <c r="C791" s="1"/>
      <c r="G791" s="1"/>
      <c r="H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x14ac:dyDescent="0.2">
      <c r="A792" s="1"/>
      <c r="C792" s="1"/>
      <c r="G792" s="1"/>
      <c r="H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x14ac:dyDescent="0.2">
      <c r="A793" s="1"/>
      <c r="C793" s="1"/>
      <c r="G793" s="1"/>
      <c r="H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x14ac:dyDescent="0.2">
      <c r="A794" s="1"/>
      <c r="C794" s="1"/>
      <c r="G794" s="1"/>
      <c r="H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x14ac:dyDescent="0.2">
      <c r="A795" s="1"/>
      <c r="C795" s="1"/>
      <c r="G795" s="1"/>
      <c r="H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x14ac:dyDescent="0.2">
      <c r="A796" s="1"/>
      <c r="C796" s="1"/>
      <c r="G796" s="1"/>
      <c r="H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x14ac:dyDescent="0.2">
      <c r="A797" s="1"/>
      <c r="C797" s="1"/>
      <c r="G797" s="1"/>
      <c r="H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x14ac:dyDescent="0.2">
      <c r="A798" s="1"/>
      <c r="C798" s="1"/>
      <c r="G798" s="1"/>
      <c r="H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x14ac:dyDescent="0.2">
      <c r="A799" s="1"/>
      <c r="C799" s="1"/>
      <c r="G799" s="1"/>
      <c r="H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x14ac:dyDescent="0.2">
      <c r="A800" s="1"/>
      <c r="C800" s="1"/>
      <c r="G800" s="1"/>
      <c r="H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x14ac:dyDescent="0.2">
      <c r="A801" s="1"/>
      <c r="C801" s="1"/>
      <c r="G801" s="1"/>
      <c r="H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x14ac:dyDescent="0.2">
      <c r="A802" s="1"/>
      <c r="C802" s="1"/>
      <c r="G802" s="1"/>
      <c r="H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x14ac:dyDescent="0.2">
      <c r="A803" s="1"/>
      <c r="C803" s="1"/>
      <c r="G803" s="1"/>
      <c r="H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x14ac:dyDescent="0.2">
      <c r="A804" s="1"/>
      <c r="C804" s="1"/>
      <c r="G804" s="1"/>
      <c r="H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x14ac:dyDescent="0.2">
      <c r="A805" s="1"/>
      <c r="C805" s="1"/>
      <c r="G805" s="1"/>
      <c r="H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x14ac:dyDescent="0.2">
      <c r="A806" s="1"/>
      <c r="C806" s="1"/>
      <c r="G806" s="1"/>
      <c r="H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x14ac:dyDescent="0.2">
      <c r="A807" s="1"/>
      <c r="C807" s="1"/>
      <c r="G807" s="1"/>
      <c r="H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x14ac:dyDescent="0.2">
      <c r="A808" s="1"/>
      <c r="C808" s="1"/>
      <c r="G808" s="1"/>
      <c r="H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x14ac:dyDescent="0.2">
      <c r="A809" s="1"/>
      <c r="C809" s="1"/>
      <c r="G809" s="1"/>
      <c r="H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x14ac:dyDescent="0.2">
      <c r="A810" s="1"/>
      <c r="C810" s="1"/>
      <c r="G810" s="1"/>
      <c r="H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x14ac:dyDescent="0.2">
      <c r="A811" s="1"/>
      <c r="C811" s="1"/>
      <c r="G811" s="1"/>
      <c r="H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x14ac:dyDescent="0.2">
      <c r="A812" s="1"/>
      <c r="C812" s="1"/>
      <c r="G812" s="1"/>
      <c r="H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x14ac:dyDescent="0.2">
      <c r="A813" s="1"/>
      <c r="C813" s="1"/>
      <c r="G813" s="1"/>
      <c r="H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x14ac:dyDescent="0.2">
      <c r="A814" s="1"/>
      <c r="C814" s="1"/>
      <c r="G814" s="1"/>
      <c r="H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x14ac:dyDescent="0.2">
      <c r="A815" s="1"/>
      <c r="C815" s="1"/>
      <c r="G815" s="1"/>
      <c r="H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x14ac:dyDescent="0.2">
      <c r="A816" s="1"/>
      <c r="C816" s="1"/>
      <c r="G816" s="1"/>
      <c r="H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x14ac:dyDescent="0.2">
      <c r="A817" s="1"/>
      <c r="C817" s="1"/>
      <c r="G817" s="1"/>
      <c r="H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x14ac:dyDescent="0.2">
      <c r="A818" s="1"/>
      <c r="C818" s="1"/>
      <c r="G818" s="1"/>
      <c r="H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x14ac:dyDescent="0.2">
      <c r="A819" s="1"/>
      <c r="C819" s="1"/>
      <c r="G819" s="1"/>
      <c r="H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x14ac:dyDescent="0.2">
      <c r="A820" s="1"/>
      <c r="C820" s="1"/>
      <c r="G820" s="1"/>
      <c r="H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x14ac:dyDescent="0.2">
      <c r="A821" s="1"/>
      <c r="C821" s="1"/>
      <c r="G821" s="1"/>
      <c r="H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x14ac:dyDescent="0.2">
      <c r="A822" s="1"/>
      <c r="C822" s="1"/>
      <c r="G822" s="1"/>
      <c r="H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x14ac:dyDescent="0.2">
      <c r="A823" s="1"/>
      <c r="C823" s="1"/>
      <c r="G823" s="1"/>
      <c r="H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x14ac:dyDescent="0.2">
      <c r="A824" s="1"/>
      <c r="C824" s="1"/>
      <c r="G824" s="1"/>
      <c r="H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x14ac:dyDescent="0.2">
      <c r="A825" s="1"/>
      <c r="C825" s="1"/>
      <c r="G825" s="1"/>
      <c r="H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x14ac:dyDescent="0.2">
      <c r="A826" s="1"/>
      <c r="C826" s="1"/>
      <c r="G826" s="1"/>
      <c r="H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x14ac:dyDescent="0.2">
      <c r="A827" s="1"/>
      <c r="C827" s="1"/>
      <c r="G827" s="1"/>
      <c r="H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x14ac:dyDescent="0.2">
      <c r="A828" s="1"/>
      <c r="C828" s="1"/>
      <c r="G828" s="1"/>
      <c r="H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x14ac:dyDescent="0.2">
      <c r="A829" s="1"/>
      <c r="C829" s="1"/>
      <c r="G829" s="1"/>
      <c r="H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x14ac:dyDescent="0.2">
      <c r="A830" s="1"/>
      <c r="C830" s="1"/>
      <c r="G830" s="1"/>
      <c r="H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x14ac:dyDescent="0.2">
      <c r="A831" s="1"/>
      <c r="C831" s="1"/>
      <c r="G831" s="1"/>
      <c r="H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x14ac:dyDescent="0.2">
      <c r="A832" s="1"/>
      <c r="C832" s="1"/>
      <c r="G832" s="1"/>
      <c r="H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x14ac:dyDescent="0.2">
      <c r="A833" s="1"/>
      <c r="C833" s="1"/>
      <c r="G833" s="1"/>
      <c r="H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x14ac:dyDescent="0.2">
      <c r="A834" s="1"/>
      <c r="C834" s="1"/>
      <c r="G834" s="1"/>
      <c r="H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x14ac:dyDescent="0.2">
      <c r="A835" s="1"/>
      <c r="C835" s="1"/>
      <c r="G835" s="1"/>
      <c r="H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x14ac:dyDescent="0.2">
      <c r="A836" s="1"/>
      <c r="C836" s="1"/>
      <c r="G836" s="1"/>
      <c r="H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x14ac:dyDescent="0.2">
      <c r="A837" s="1"/>
      <c r="C837" s="1"/>
      <c r="G837" s="1"/>
      <c r="H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x14ac:dyDescent="0.2">
      <c r="A838" s="1"/>
      <c r="C838" s="1"/>
      <c r="G838" s="1"/>
      <c r="H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x14ac:dyDescent="0.2">
      <c r="A839" s="1"/>
      <c r="C839" s="1"/>
      <c r="G839" s="1"/>
      <c r="H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x14ac:dyDescent="0.2">
      <c r="A840" s="1"/>
      <c r="C840" s="1"/>
      <c r="G840" s="1"/>
      <c r="H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x14ac:dyDescent="0.2">
      <c r="A841" s="1"/>
      <c r="C841" s="1"/>
      <c r="G841" s="1"/>
      <c r="H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x14ac:dyDescent="0.2">
      <c r="A842" s="1"/>
      <c r="C842" s="1"/>
      <c r="G842" s="1"/>
      <c r="H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x14ac:dyDescent="0.2">
      <c r="A843" s="1"/>
      <c r="C843" s="1"/>
      <c r="G843" s="1"/>
      <c r="H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x14ac:dyDescent="0.2">
      <c r="A844" s="1"/>
      <c r="C844" s="1"/>
      <c r="G844" s="1"/>
      <c r="H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x14ac:dyDescent="0.2">
      <c r="A845" s="1"/>
      <c r="C845" s="1"/>
      <c r="G845" s="1"/>
      <c r="H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x14ac:dyDescent="0.2">
      <c r="A846" s="1"/>
      <c r="C846" s="1"/>
      <c r="G846" s="1"/>
      <c r="H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x14ac:dyDescent="0.2">
      <c r="A847" s="1"/>
      <c r="C847" s="1"/>
      <c r="G847" s="1"/>
      <c r="H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x14ac:dyDescent="0.2">
      <c r="A848" s="1"/>
      <c r="C848" s="1"/>
      <c r="G848" s="1"/>
      <c r="H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x14ac:dyDescent="0.2">
      <c r="A849" s="1"/>
      <c r="C849" s="1"/>
      <c r="G849" s="1"/>
      <c r="H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x14ac:dyDescent="0.2">
      <c r="A850" s="1"/>
      <c r="C850" s="1"/>
      <c r="G850" s="1"/>
      <c r="H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x14ac:dyDescent="0.2">
      <c r="A851" s="1"/>
      <c r="C851" s="1"/>
      <c r="G851" s="1"/>
      <c r="H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x14ac:dyDescent="0.2">
      <c r="A852" s="1"/>
      <c r="C852" s="1"/>
      <c r="G852" s="1"/>
      <c r="H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x14ac:dyDescent="0.2">
      <c r="A853" s="1"/>
      <c r="C853" s="1"/>
      <c r="G853" s="1"/>
      <c r="H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x14ac:dyDescent="0.2">
      <c r="A854" s="1"/>
      <c r="C854" s="1"/>
      <c r="G854" s="1"/>
      <c r="H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x14ac:dyDescent="0.2">
      <c r="A855" s="1"/>
      <c r="C855" s="1"/>
      <c r="G855" s="1"/>
      <c r="H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x14ac:dyDescent="0.2">
      <c r="A856" s="1"/>
      <c r="C856" s="1"/>
      <c r="G856" s="1"/>
      <c r="H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x14ac:dyDescent="0.2">
      <c r="A857" s="1"/>
      <c r="C857" s="1"/>
      <c r="G857" s="1"/>
      <c r="H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x14ac:dyDescent="0.2">
      <c r="A858" s="1"/>
      <c r="C858" s="1"/>
      <c r="G858" s="1"/>
      <c r="H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x14ac:dyDescent="0.2">
      <c r="A859" s="1"/>
      <c r="C859" s="1"/>
      <c r="G859" s="1"/>
      <c r="H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x14ac:dyDescent="0.2">
      <c r="A860" s="1"/>
      <c r="C860" s="1"/>
      <c r="G860" s="1"/>
      <c r="H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x14ac:dyDescent="0.2">
      <c r="A861" s="1"/>
      <c r="C861" s="1"/>
      <c r="G861" s="1"/>
      <c r="H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x14ac:dyDescent="0.2">
      <c r="A862" s="1"/>
      <c r="C862" s="1"/>
      <c r="G862" s="1"/>
      <c r="H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x14ac:dyDescent="0.2">
      <c r="A863" s="1"/>
      <c r="C863" s="1"/>
      <c r="G863" s="1"/>
      <c r="H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x14ac:dyDescent="0.2">
      <c r="A864" s="1"/>
      <c r="C864" s="1"/>
      <c r="G864" s="1"/>
      <c r="H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x14ac:dyDescent="0.2">
      <c r="A865" s="1"/>
      <c r="C865" s="1"/>
      <c r="G865" s="1"/>
      <c r="H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x14ac:dyDescent="0.2">
      <c r="A866" s="1"/>
      <c r="C866" s="1"/>
      <c r="G866" s="1"/>
      <c r="H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x14ac:dyDescent="0.2">
      <c r="A867" s="1"/>
      <c r="C867" s="1"/>
      <c r="G867" s="1"/>
      <c r="H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x14ac:dyDescent="0.2">
      <c r="A868" s="1"/>
      <c r="C868" s="1"/>
      <c r="G868" s="1"/>
      <c r="H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x14ac:dyDescent="0.2">
      <c r="A869" s="1"/>
      <c r="C869" s="1"/>
      <c r="G869" s="1"/>
      <c r="H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x14ac:dyDescent="0.2">
      <c r="A870" s="1"/>
      <c r="C870" s="1"/>
      <c r="G870" s="1"/>
      <c r="H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x14ac:dyDescent="0.2">
      <c r="A871" s="1"/>
      <c r="C871" s="1"/>
      <c r="G871" s="1"/>
      <c r="H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x14ac:dyDescent="0.2">
      <c r="A872" s="1"/>
      <c r="C872" s="1"/>
      <c r="G872" s="1"/>
      <c r="H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x14ac:dyDescent="0.2">
      <c r="A873" s="1"/>
      <c r="C873" s="1"/>
      <c r="G873" s="1"/>
      <c r="H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x14ac:dyDescent="0.2">
      <c r="A874" s="1"/>
      <c r="C874" s="1"/>
      <c r="G874" s="1"/>
      <c r="H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x14ac:dyDescent="0.2">
      <c r="A875" s="1"/>
      <c r="C875" s="1"/>
      <c r="G875" s="1"/>
      <c r="H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x14ac:dyDescent="0.2">
      <c r="A876" s="1"/>
      <c r="C876" s="1"/>
      <c r="G876" s="1"/>
      <c r="H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x14ac:dyDescent="0.2">
      <c r="A877" s="1"/>
      <c r="C877" s="1"/>
      <c r="G877" s="1"/>
      <c r="H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x14ac:dyDescent="0.2">
      <c r="A878" s="1"/>
      <c r="C878" s="1"/>
      <c r="G878" s="1"/>
      <c r="H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x14ac:dyDescent="0.2">
      <c r="A879" s="1"/>
      <c r="C879" s="1"/>
      <c r="G879" s="1"/>
      <c r="H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x14ac:dyDescent="0.2">
      <c r="A880" s="1"/>
      <c r="C880" s="1"/>
      <c r="G880" s="1"/>
      <c r="H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x14ac:dyDescent="0.2">
      <c r="A881" s="1"/>
      <c r="C881" s="1"/>
      <c r="G881" s="1"/>
      <c r="H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x14ac:dyDescent="0.2">
      <c r="A882" s="1"/>
      <c r="C882" s="1"/>
      <c r="G882" s="1"/>
      <c r="H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x14ac:dyDescent="0.2">
      <c r="A883" s="1"/>
      <c r="C883" s="1"/>
      <c r="G883" s="1"/>
      <c r="H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x14ac:dyDescent="0.2">
      <c r="A884" s="1"/>
      <c r="C884" s="1"/>
      <c r="G884" s="1"/>
      <c r="H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x14ac:dyDescent="0.2">
      <c r="A885" s="1"/>
      <c r="C885" s="1"/>
      <c r="G885" s="1"/>
      <c r="H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x14ac:dyDescent="0.2">
      <c r="A886" s="1"/>
      <c r="C886" s="1"/>
      <c r="G886" s="1"/>
      <c r="H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x14ac:dyDescent="0.2">
      <c r="A887" s="1"/>
      <c r="C887" s="1"/>
      <c r="G887" s="1"/>
      <c r="H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x14ac:dyDescent="0.2">
      <c r="A888" s="1"/>
      <c r="C888" s="1"/>
      <c r="G888" s="1"/>
      <c r="H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x14ac:dyDescent="0.2">
      <c r="A889" s="1"/>
      <c r="C889" s="1"/>
      <c r="G889" s="1"/>
      <c r="H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x14ac:dyDescent="0.2">
      <c r="A890" s="1"/>
      <c r="C890" s="1"/>
      <c r="G890" s="1"/>
      <c r="H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x14ac:dyDescent="0.2">
      <c r="A891" s="1"/>
      <c r="C891" s="1"/>
      <c r="G891" s="1"/>
      <c r="H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x14ac:dyDescent="0.2">
      <c r="A892" s="1"/>
      <c r="C892" s="1"/>
      <c r="G892" s="1"/>
      <c r="H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x14ac:dyDescent="0.2">
      <c r="A893" s="1"/>
      <c r="C893" s="1"/>
      <c r="G893" s="1"/>
      <c r="H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x14ac:dyDescent="0.2">
      <c r="A894" s="1"/>
      <c r="C894" s="1"/>
      <c r="G894" s="1"/>
      <c r="H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x14ac:dyDescent="0.2">
      <c r="A895" s="1"/>
      <c r="C895" s="1"/>
      <c r="G895" s="1"/>
      <c r="H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x14ac:dyDescent="0.2">
      <c r="A896" s="1"/>
      <c r="C896" s="1"/>
      <c r="G896" s="1"/>
      <c r="H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x14ac:dyDescent="0.2">
      <c r="A897" s="1"/>
      <c r="C897" s="1"/>
      <c r="G897" s="1"/>
      <c r="H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x14ac:dyDescent="0.2">
      <c r="A898" s="1"/>
      <c r="C898" s="1"/>
      <c r="G898" s="1"/>
      <c r="H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x14ac:dyDescent="0.2">
      <c r="A899" s="1"/>
      <c r="C899" s="1"/>
      <c r="G899" s="1"/>
      <c r="H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x14ac:dyDescent="0.2">
      <c r="A900" s="1"/>
      <c r="C900" s="1"/>
      <c r="G900" s="1"/>
      <c r="H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x14ac:dyDescent="0.2">
      <c r="A901" s="1"/>
      <c r="C901" s="1"/>
      <c r="G901" s="1"/>
      <c r="H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x14ac:dyDescent="0.2">
      <c r="A902" s="1"/>
      <c r="C902" s="1"/>
      <c r="G902" s="1"/>
      <c r="H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x14ac:dyDescent="0.2">
      <c r="A903" s="1"/>
      <c r="C903" s="1"/>
      <c r="G903" s="1"/>
      <c r="H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x14ac:dyDescent="0.2">
      <c r="A904" s="1"/>
      <c r="C904" s="1"/>
      <c r="G904" s="1"/>
      <c r="H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x14ac:dyDescent="0.2">
      <c r="A905" s="1"/>
      <c r="C905" s="1"/>
      <c r="G905" s="1"/>
      <c r="H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x14ac:dyDescent="0.2">
      <c r="A906" s="1"/>
      <c r="C906" s="1"/>
      <c r="G906" s="1"/>
      <c r="H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x14ac:dyDescent="0.2">
      <c r="A907" s="1"/>
      <c r="C907" s="1"/>
      <c r="G907" s="1"/>
      <c r="H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x14ac:dyDescent="0.2">
      <c r="A908" s="1"/>
      <c r="C908" s="1"/>
      <c r="G908" s="1"/>
      <c r="H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x14ac:dyDescent="0.2">
      <c r="A909" s="1"/>
      <c r="C909" s="1"/>
      <c r="G909" s="1"/>
      <c r="H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x14ac:dyDescent="0.2">
      <c r="A910" s="1"/>
      <c r="C910" s="1"/>
      <c r="G910" s="1"/>
      <c r="H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x14ac:dyDescent="0.2">
      <c r="A911" s="1"/>
      <c r="C911" s="1"/>
      <c r="G911" s="1"/>
      <c r="H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x14ac:dyDescent="0.2">
      <c r="A912" s="1"/>
      <c r="C912" s="1"/>
      <c r="G912" s="1"/>
      <c r="H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x14ac:dyDescent="0.2">
      <c r="A913" s="1"/>
      <c r="C913" s="1"/>
      <c r="G913" s="1"/>
      <c r="H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x14ac:dyDescent="0.2">
      <c r="A914" s="1"/>
      <c r="C914" s="1"/>
      <c r="G914" s="1"/>
      <c r="H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x14ac:dyDescent="0.2">
      <c r="A915" s="1"/>
      <c r="C915" s="1"/>
      <c r="G915" s="1"/>
      <c r="H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x14ac:dyDescent="0.2">
      <c r="A916" s="1"/>
      <c r="C916" s="1"/>
      <c r="G916" s="1"/>
      <c r="H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x14ac:dyDescent="0.2">
      <c r="A917" s="1"/>
      <c r="C917" s="1"/>
      <c r="G917" s="1"/>
      <c r="H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x14ac:dyDescent="0.2">
      <c r="A918" s="1"/>
      <c r="C918" s="1"/>
      <c r="G918" s="1"/>
      <c r="H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x14ac:dyDescent="0.2">
      <c r="A919" s="1"/>
      <c r="C919" s="1"/>
      <c r="G919" s="1"/>
      <c r="H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x14ac:dyDescent="0.2">
      <c r="A920" s="1"/>
      <c r="C920" s="1"/>
      <c r="G920" s="1"/>
      <c r="H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x14ac:dyDescent="0.2">
      <c r="A921" s="1"/>
      <c r="C921" s="1"/>
      <c r="G921" s="1"/>
      <c r="H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x14ac:dyDescent="0.2">
      <c r="A922" s="1"/>
      <c r="C922" s="1"/>
      <c r="G922" s="1"/>
      <c r="H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x14ac:dyDescent="0.2">
      <c r="A923" s="1"/>
      <c r="C923" s="1"/>
      <c r="G923" s="1"/>
      <c r="H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x14ac:dyDescent="0.2">
      <c r="A924" s="1"/>
      <c r="C924" s="1"/>
      <c r="G924" s="1"/>
      <c r="H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x14ac:dyDescent="0.2">
      <c r="A925" s="1"/>
      <c r="C925" s="1"/>
      <c r="G925" s="1"/>
      <c r="H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x14ac:dyDescent="0.2">
      <c r="A926" s="1"/>
      <c r="C926" s="1"/>
      <c r="G926" s="1"/>
      <c r="H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x14ac:dyDescent="0.2">
      <c r="A927" s="1"/>
      <c r="C927" s="1"/>
      <c r="G927" s="1"/>
      <c r="H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x14ac:dyDescent="0.2">
      <c r="A928" s="1"/>
      <c r="C928" s="1"/>
      <c r="G928" s="1"/>
      <c r="H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x14ac:dyDescent="0.2">
      <c r="A929" s="1"/>
      <c r="C929" s="1"/>
      <c r="G929" s="1"/>
      <c r="H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x14ac:dyDescent="0.2">
      <c r="A930" s="1"/>
      <c r="C930" s="1"/>
      <c r="G930" s="1"/>
      <c r="H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x14ac:dyDescent="0.2">
      <c r="A931" s="1"/>
      <c r="C931" s="1"/>
      <c r="G931" s="1"/>
      <c r="H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x14ac:dyDescent="0.2">
      <c r="A932" s="1"/>
      <c r="C932" s="1"/>
      <c r="G932" s="1"/>
      <c r="H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x14ac:dyDescent="0.2">
      <c r="A933" s="1"/>
      <c r="C933" s="1"/>
      <c r="G933" s="1"/>
      <c r="H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x14ac:dyDescent="0.2">
      <c r="A934" s="1"/>
      <c r="C934" s="1"/>
      <c r="G934" s="1"/>
      <c r="H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x14ac:dyDescent="0.2">
      <c r="A935" s="1"/>
      <c r="C935" s="1"/>
      <c r="G935" s="1"/>
      <c r="H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x14ac:dyDescent="0.2">
      <c r="A936" s="1"/>
      <c r="C936" s="1"/>
      <c r="G936" s="1"/>
      <c r="H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x14ac:dyDescent="0.2">
      <c r="A937" s="1"/>
      <c r="C937" s="1"/>
      <c r="G937" s="1"/>
      <c r="H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x14ac:dyDescent="0.2">
      <c r="A938" s="1"/>
      <c r="C938" s="1"/>
      <c r="G938" s="1"/>
      <c r="H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x14ac:dyDescent="0.2">
      <c r="A939" s="1"/>
      <c r="C939" s="1"/>
      <c r="G939" s="1"/>
      <c r="H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x14ac:dyDescent="0.2">
      <c r="A940" s="1"/>
      <c r="C940" s="1"/>
      <c r="G940" s="1"/>
      <c r="H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x14ac:dyDescent="0.2">
      <c r="A941" s="1"/>
      <c r="C941" s="1"/>
      <c r="G941" s="1"/>
      <c r="H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x14ac:dyDescent="0.2">
      <c r="A942" s="1"/>
      <c r="C942" s="1"/>
      <c r="G942" s="1"/>
      <c r="H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x14ac:dyDescent="0.2">
      <c r="A943" s="1"/>
      <c r="C943" s="1"/>
      <c r="G943" s="1"/>
      <c r="H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x14ac:dyDescent="0.2">
      <c r="A944" s="1"/>
      <c r="C944" s="1"/>
      <c r="G944" s="1"/>
      <c r="H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x14ac:dyDescent="0.2">
      <c r="A945" s="1"/>
      <c r="C945" s="1"/>
      <c r="G945" s="1"/>
      <c r="H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x14ac:dyDescent="0.2">
      <c r="A946" s="1"/>
      <c r="C946" s="1"/>
      <c r="G946" s="1"/>
      <c r="H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x14ac:dyDescent="0.2">
      <c r="A947" s="1"/>
      <c r="C947" s="1"/>
      <c r="G947" s="1"/>
      <c r="H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x14ac:dyDescent="0.2">
      <c r="A948" s="1"/>
      <c r="C948" s="1"/>
      <c r="G948" s="1"/>
      <c r="H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x14ac:dyDescent="0.2">
      <c r="A949" s="1"/>
      <c r="C949" s="1"/>
      <c r="G949" s="1"/>
      <c r="H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x14ac:dyDescent="0.2">
      <c r="A950" s="1"/>
      <c r="C950" s="1"/>
      <c r="G950" s="1"/>
      <c r="H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x14ac:dyDescent="0.2">
      <c r="A951" s="1"/>
      <c r="C951" s="1"/>
      <c r="G951" s="1"/>
      <c r="H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x14ac:dyDescent="0.2">
      <c r="A952" s="1"/>
      <c r="C952" s="1"/>
      <c r="G952" s="1"/>
      <c r="H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x14ac:dyDescent="0.2">
      <c r="A953" s="1"/>
      <c r="C953" s="1"/>
      <c r="G953" s="1"/>
      <c r="H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x14ac:dyDescent="0.2">
      <c r="A954" s="1"/>
      <c r="C954" s="1"/>
      <c r="G954" s="1"/>
      <c r="H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x14ac:dyDescent="0.2">
      <c r="A955" s="1"/>
      <c r="C955" s="1"/>
      <c r="G955" s="1"/>
      <c r="H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x14ac:dyDescent="0.2">
      <c r="A956" s="1"/>
      <c r="C956" s="1"/>
      <c r="G956" s="1"/>
      <c r="H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x14ac:dyDescent="0.2">
      <c r="A957" s="1"/>
      <c r="C957" s="1"/>
      <c r="G957" s="1"/>
      <c r="H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x14ac:dyDescent="0.2">
      <c r="A958" s="1"/>
      <c r="C958" s="1"/>
      <c r="G958" s="1"/>
      <c r="H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x14ac:dyDescent="0.2">
      <c r="A959" s="1"/>
      <c r="C959" s="1"/>
      <c r="G959" s="1"/>
      <c r="H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x14ac:dyDescent="0.2">
      <c r="A960" s="1"/>
      <c r="C960" s="1"/>
      <c r="G960" s="1"/>
      <c r="H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x14ac:dyDescent="0.2">
      <c r="A961" s="1"/>
      <c r="C961" s="1"/>
      <c r="G961" s="1"/>
      <c r="H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x14ac:dyDescent="0.2">
      <c r="A962" s="1"/>
      <c r="C962" s="1"/>
      <c r="G962" s="1"/>
      <c r="H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x14ac:dyDescent="0.2">
      <c r="A963" s="1"/>
      <c r="C963" s="1"/>
      <c r="G963" s="1"/>
      <c r="H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x14ac:dyDescent="0.2">
      <c r="A964" s="1"/>
      <c r="C964" s="1"/>
      <c r="G964" s="1"/>
      <c r="H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x14ac:dyDescent="0.2">
      <c r="A965" s="1"/>
      <c r="C965" s="1"/>
      <c r="G965" s="1"/>
      <c r="H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x14ac:dyDescent="0.2">
      <c r="A966" s="1"/>
      <c r="C966" s="1"/>
      <c r="G966" s="1"/>
      <c r="H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x14ac:dyDescent="0.2">
      <c r="A967" s="1"/>
      <c r="C967" s="1"/>
      <c r="G967" s="1"/>
      <c r="H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x14ac:dyDescent="0.2">
      <c r="A968" s="1"/>
      <c r="C968" s="1"/>
      <c r="G968" s="1"/>
      <c r="H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x14ac:dyDescent="0.2">
      <c r="A969" s="1"/>
      <c r="C969" s="1"/>
      <c r="G969" s="1"/>
      <c r="H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x14ac:dyDescent="0.2">
      <c r="A970" s="1"/>
      <c r="C970" s="1"/>
      <c r="G970" s="1"/>
      <c r="H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x14ac:dyDescent="0.2">
      <c r="A971" s="1"/>
      <c r="C971" s="1"/>
      <c r="G971" s="1"/>
      <c r="H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x14ac:dyDescent="0.2">
      <c r="A972" s="1"/>
      <c r="C972" s="1"/>
      <c r="G972" s="1"/>
      <c r="H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x14ac:dyDescent="0.2">
      <c r="A973" s="1"/>
      <c r="C973" s="1"/>
      <c r="G973" s="1"/>
      <c r="H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x14ac:dyDescent="0.2">
      <c r="A974" s="1"/>
      <c r="C974" s="1"/>
      <c r="G974" s="1"/>
      <c r="H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x14ac:dyDescent="0.2">
      <c r="A975" s="1"/>
      <c r="C975" s="1"/>
      <c r="G975" s="1"/>
      <c r="H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x14ac:dyDescent="0.2">
      <c r="A976" s="1"/>
      <c r="C976" s="1"/>
      <c r="G976" s="1"/>
      <c r="H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x14ac:dyDescent="0.2">
      <c r="A977" s="1"/>
      <c r="C977" s="1"/>
      <c r="G977" s="1"/>
      <c r="H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x14ac:dyDescent="0.2">
      <c r="A978" s="1"/>
      <c r="C978" s="1"/>
      <c r="G978" s="1"/>
      <c r="H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x14ac:dyDescent="0.2">
      <c r="A979" s="1"/>
      <c r="C979" s="1"/>
      <c r="G979" s="1"/>
      <c r="H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x14ac:dyDescent="0.2">
      <c r="A980" s="1"/>
      <c r="C980" s="1"/>
      <c r="G980" s="1"/>
      <c r="H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x14ac:dyDescent="0.2">
      <c r="A981" s="1"/>
      <c r="C981" s="1"/>
      <c r="G981" s="1"/>
      <c r="H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x14ac:dyDescent="0.2">
      <c r="A982" s="1"/>
      <c r="C982" s="1"/>
      <c r="G982" s="1"/>
      <c r="H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x14ac:dyDescent="0.2">
      <c r="A983" s="1"/>
      <c r="C983" s="1"/>
      <c r="G983" s="1"/>
      <c r="H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x14ac:dyDescent="0.2">
      <c r="A984" s="1"/>
      <c r="C984" s="1"/>
      <c r="G984" s="1"/>
      <c r="H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x14ac:dyDescent="0.2">
      <c r="A985" s="1"/>
      <c r="C985" s="1"/>
      <c r="G985" s="1"/>
      <c r="H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x14ac:dyDescent="0.2">
      <c r="A986" s="1"/>
      <c r="C986" s="1"/>
      <c r="G986" s="1"/>
      <c r="H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x14ac:dyDescent="0.2">
      <c r="A987" s="1"/>
      <c r="C987" s="1"/>
      <c r="G987" s="1"/>
      <c r="H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x14ac:dyDescent="0.2">
      <c r="A988" s="1"/>
      <c r="C988" s="1"/>
      <c r="G988" s="1"/>
      <c r="H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x14ac:dyDescent="0.2">
      <c r="A989" s="1"/>
      <c r="C989" s="1"/>
      <c r="G989" s="1"/>
      <c r="H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x14ac:dyDescent="0.2">
      <c r="A990" s="1"/>
      <c r="C990" s="1"/>
      <c r="G990" s="1"/>
      <c r="H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x14ac:dyDescent="0.2">
      <c r="A991" s="1"/>
      <c r="C991" s="1"/>
      <c r="G991" s="1"/>
      <c r="H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x14ac:dyDescent="0.2">
      <c r="A992" s="1"/>
      <c r="C992" s="1"/>
      <c r="G992" s="1"/>
      <c r="H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x14ac:dyDescent="0.2">
      <c r="A993" s="1"/>
      <c r="C993" s="1"/>
      <c r="G993" s="1"/>
      <c r="H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x14ac:dyDescent="0.2">
      <c r="A994" s="1"/>
      <c r="C994" s="1"/>
      <c r="G994" s="1"/>
      <c r="H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x14ac:dyDescent="0.2">
      <c r="A995" s="1"/>
      <c r="C995" s="1"/>
      <c r="G995" s="1"/>
      <c r="H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x14ac:dyDescent="0.2">
      <c r="A996" s="1"/>
      <c r="C996" s="1"/>
      <c r="G996" s="1"/>
      <c r="H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x14ac:dyDescent="0.2">
      <c r="A997" s="1"/>
      <c r="C997" s="1"/>
      <c r="G997" s="1"/>
      <c r="H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x14ac:dyDescent="0.2">
      <c r="A998" s="1"/>
      <c r="C998" s="1"/>
      <c r="G998" s="1"/>
      <c r="H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x14ac:dyDescent="0.2">
      <c r="A999" s="1"/>
      <c r="C999" s="1"/>
      <c r="G999" s="1"/>
      <c r="H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x14ac:dyDescent="0.2">
      <c r="A1000" s="1"/>
      <c r="C1000" s="1"/>
      <c r="G1000" s="1"/>
      <c r="H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 x14ac:dyDescent="0.2">
      <c r="A1001" s="1"/>
      <c r="C1001" s="1"/>
      <c r="G1001" s="1"/>
      <c r="H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 x14ac:dyDescent="0.2">
      <c r="A1002" s="1"/>
      <c r="C1002" s="1"/>
      <c r="G1002" s="1"/>
      <c r="H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 x14ac:dyDescent="0.2">
      <c r="A1003" s="1"/>
      <c r="C1003" s="1"/>
      <c r="G1003" s="1"/>
      <c r="H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 x14ac:dyDescent="0.2">
      <c r="A1004" s="1"/>
      <c r="C1004" s="1"/>
      <c r="G1004" s="1"/>
      <c r="H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 x14ac:dyDescent="0.2">
      <c r="A1005" s="1"/>
      <c r="C1005" s="1"/>
      <c r="G1005" s="1"/>
      <c r="H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 x14ac:dyDescent="0.2">
      <c r="A1006" s="1"/>
      <c r="C1006" s="1"/>
      <c r="G1006" s="1"/>
      <c r="H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 x14ac:dyDescent="0.2">
      <c r="A1007" s="1"/>
      <c r="C1007" s="1"/>
      <c r="G1007" s="1"/>
      <c r="H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 x14ac:dyDescent="0.2">
      <c r="A1008" s="1"/>
      <c r="C1008" s="1"/>
      <c r="G1008" s="1"/>
      <c r="H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 x14ac:dyDescent="0.2">
      <c r="A1009" s="1"/>
      <c r="C1009" s="1"/>
      <c r="G1009" s="1"/>
      <c r="H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 x14ac:dyDescent="0.2">
      <c r="A1010" s="1"/>
      <c r="C1010" s="1"/>
      <c r="G1010" s="1"/>
      <c r="H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</row>
    <row r="1011" spans="1:19" x14ac:dyDescent="0.2">
      <c r="A1011" s="1"/>
      <c r="C1011" s="1"/>
      <c r="G1011" s="1"/>
      <c r="H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</row>
    <row r="1012" spans="1:19" x14ac:dyDescent="0.2">
      <c r="A1012" s="1"/>
      <c r="C1012" s="1"/>
      <c r="G1012" s="1"/>
      <c r="H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 x14ac:dyDescent="0.2">
      <c r="A1013" s="1"/>
      <c r="C1013" s="1"/>
      <c r="G1013" s="1"/>
      <c r="H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</row>
    <row r="1014" spans="1:19" x14ac:dyDescent="0.2">
      <c r="A1014" s="1"/>
      <c r="C1014" s="1"/>
      <c r="G1014" s="1"/>
      <c r="H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 x14ac:dyDescent="0.2">
      <c r="A1015" s="1"/>
      <c r="C1015" s="1"/>
      <c r="G1015" s="1"/>
      <c r="H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</row>
    <row r="1016" spans="1:19" x14ac:dyDescent="0.2">
      <c r="A1016" s="1"/>
      <c r="C1016" s="1"/>
      <c r="G1016" s="1"/>
      <c r="H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</row>
    <row r="1017" spans="1:19" x14ac:dyDescent="0.2">
      <c r="A1017" s="1"/>
      <c r="C1017" s="1"/>
      <c r="G1017" s="1"/>
      <c r="H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</row>
    <row r="1018" spans="1:19" x14ac:dyDescent="0.2">
      <c r="A1018" s="1"/>
      <c r="C1018" s="1"/>
      <c r="G1018" s="1"/>
      <c r="H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 x14ac:dyDescent="0.2">
      <c r="A1019" s="1"/>
      <c r="C1019" s="1"/>
      <c r="G1019" s="1"/>
      <c r="H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</row>
    <row r="1020" spans="1:19" x14ac:dyDescent="0.2">
      <c r="A1020" s="1"/>
      <c r="C1020" s="1"/>
      <c r="G1020" s="1"/>
      <c r="H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</row>
    <row r="1021" spans="1:19" x14ac:dyDescent="0.2">
      <c r="A1021" s="1"/>
      <c r="C1021" s="1"/>
      <c r="G1021" s="1"/>
      <c r="H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</row>
    <row r="1022" spans="1:19" x14ac:dyDescent="0.2">
      <c r="A1022" s="1"/>
      <c r="C1022" s="1"/>
      <c r="G1022" s="1"/>
      <c r="H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</row>
    <row r="1023" spans="1:19" x14ac:dyDescent="0.2">
      <c r="A1023" s="1"/>
      <c r="C1023" s="1"/>
      <c r="G1023" s="1"/>
      <c r="H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</row>
    <row r="1024" spans="1:19" x14ac:dyDescent="0.2">
      <c r="A1024" s="1"/>
      <c r="C1024" s="1"/>
      <c r="G1024" s="1"/>
      <c r="H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</row>
    <row r="1025" spans="1:19" x14ac:dyDescent="0.2">
      <c r="A1025" s="1"/>
      <c r="C1025" s="1"/>
      <c r="G1025" s="1"/>
      <c r="H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</row>
    <row r="1026" spans="1:19" x14ac:dyDescent="0.2">
      <c r="A1026" s="1"/>
      <c r="C1026" s="1"/>
      <c r="G1026" s="1"/>
      <c r="H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</row>
    <row r="1027" spans="1:19" x14ac:dyDescent="0.2">
      <c r="A1027" s="1"/>
      <c r="C1027" s="1"/>
      <c r="G1027" s="1"/>
      <c r="H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</row>
    <row r="1028" spans="1:19" x14ac:dyDescent="0.2">
      <c r="A1028" s="1"/>
      <c r="C1028" s="1"/>
      <c r="G1028" s="1"/>
      <c r="H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</row>
    <row r="1029" spans="1:19" x14ac:dyDescent="0.2">
      <c r="A1029" s="1"/>
      <c r="C1029" s="1"/>
      <c r="G1029" s="1"/>
      <c r="H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</row>
    <row r="1030" spans="1:19" x14ac:dyDescent="0.2">
      <c r="A1030" s="1"/>
      <c r="C1030" s="1"/>
      <c r="G1030" s="1"/>
      <c r="H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</row>
    <row r="1031" spans="1:19" x14ac:dyDescent="0.2">
      <c r="A1031" s="1"/>
      <c r="C1031" s="1"/>
      <c r="G1031" s="1"/>
      <c r="H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</row>
    <row r="1032" spans="1:19" x14ac:dyDescent="0.2">
      <c r="A1032" s="1"/>
      <c r="C1032" s="1"/>
      <c r="G1032" s="1"/>
      <c r="H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</row>
    <row r="1033" spans="1:19" x14ac:dyDescent="0.2">
      <c r="A1033" s="1"/>
      <c r="C1033" s="1"/>
      <c r="G1033" s="1"/>
      <c r="H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</row>
    <row r="1034" spans="1:19" x14ac:dyDescent="0.2">
      <c r="A1034" s="1"/>
      <c r="C1034" s="1"/>
      <c r="G1034" s="1"/>
      <c r="H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</row>
    <row r="1035" spans="1:19" x14ac:dyDescent="0.2">
      <c r="A1035" s="1"/>
      <c r="C1035" s="1"/>
      <c r="G1035" s="1"/>
      <c r="H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</row>
    <row r="1036" spans="1:19" x14ac:dyDescent="0.2">
      <c r="A1036" s="1"/>
      <c r="C1036" s="1"/>
      <c r="G1036" s="1"/>
      <c r="H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</row>
    <row r="1037" spans="1:19" x14ac:dyDescent="0.2">
      <c r="A1037" s="1"/>
      <c r="C1037" s="1"/>
      <c r="G1037" s="1"/>
      <c r="H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</row>
    <row r="1038" spans="1:19" x14ac:dyDescent="0.2">
      <c r="A1038" s="1"/>
      <c r="C1038" s="1"/>
      <c r="G1038" s="1"/>
      <c r="H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</row>
    <row r="1039" spans="1:19" x14ac:dyDescent="0.2">
      <c r="A1039" s="1"/>
      <c r="C1039" s="1"/>
      <c r="G1039" s="1"/>
      <c r="H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</row>
    <row r="1040" spans="1:19" x14ac:dyDescent="0.2">
      <c r="A1040" s="1"/>
      <c r="C1040" s="1"/>
      <c r="G1040" s="1"/>
      <c r="H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</row>
    <row r="1041" spans="1:19" x14ac:dyDescent="0.2">
      <c r="A1041" s="1"/>
      <c r="C1041" s="1"/>
      <c r="G1041" s="1"/>
      <c r="H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</row>
    <row r="1042" spans="1:19" x14ac:dyDescent="0.2">
      <c r="A1042" s="1"/>
      <c r="C1042" s="1"/>
      <c r="G1042" s="1"/>
      <c r="H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</row>
    <row r="1043" spans="1:19" x14ac:dyDescent="0.2">
      <c r="A1043" s="1"/>
      <c r="C1043" s="1"/>
      <c r="G1043" s="1"/>
      <c r="H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</row>
    <row r="1044" spans="1:19" x14ac:dyDescent="0.2">
      <c r="A1044" s="1"/>
      <c r="C1044" s="1"/>
      <c r="G1044" s="1"/>
      <c r="H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</row>
    <row r="1045" spans="1:19" x14ac:dyDescent="0.2">
      <c r="A1045" s="1"/>
      <c r="C1045" s="1"/>
      <c r="G1045" s="1"/>
      <c r="H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</row>
    <row r="1046" spans="1:19" x14ac:dyDescent="0.2">
      <c r="A1046" s="1"/>
      <c r="C1046" s="1"/>
      <c r="G1046" s="1"/>
      <c r="H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</row>
    <row r="1047" spans="1:19" x14ac:dyDescent="0.2">
      <c r="A1047" s="1"/>
      <c r="C1047" s="1"/>
      <c r="G1047" s="1"/>
      <c r="H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</row>
    <row r="1048" spans="1:19" x14ac:dyDescent="0.2">
      <c r="A1048" s="1"/>
      <c r="C1048" s="1"/>
      <c r="G1048" s="1"/>
      <c r="H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</row>
    <row r="1049" spans="1:19" x14ac:dyDescent="0.2">
      <c r="A1049" s="1"/>
      <c r="C1049" s="1"/>
      <c r="G1049" s="1"/>
      <c r="H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</row>
    <row r="1050" spans="1:19" x14ac:dyDescent="0.2">
      <c r="A1050" s="1"/>
      <c r="C1050" s="1"/>
      <c r="G1050" s="1"/>
      <c r="H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</row>
    <row r="1051" spans="1:19" x14ac:dyDescent="0.2">
      <c r="A1051" s="1"/>
      <c r="C1051" s="1"/>
      <c r="G1051" s="1"/>
      <c r="H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</row>
    <row r="1052" spans="1:19" x14ac:dyDescent="0.2">
      <c r="A1052" s="1"/>
      <c r="C1052" s="1"/>
      <c r="G1052" s="1"/>
      <c r="H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</row>
    <row r="1053" spans="1:19" x14ac:dyDescent="0.2">
      <c r="A1053" s="1"/>
      <c r="C1053" s="1"/>
      <c r="G1053" s="1"/>
      <c r="H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</row>
    <row r="1054" spans="1:19" x14ac:dyDescent="0.2">
      <c r="A1054" s="1"/>
      <c r="C1054" s="1"/>
      <c r="G1054" s="1"/>
      <c r="H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</row>
    <row r="1055" spans="1:19" x14ac:dyDescent="0.2">
      <c r="A1055" s="1"/>
      <c r="C1055" s="1"/>
      <c r="G1055" s="1"/>
      <c r="H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</row>
    <row r="1056" spans="1:19" x14ac:dyDescent="0.2">
      <c r="A1056" s="1"/>
      <c r="C1056" s="1"/>
      <c r="G1056" s="1"/>
      <c r="H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</row>
    <row r="1057" spans="1:19" x14ac:dyDescent="0.2">
      <c r="A1057" s="1"/>
      <c r="C1057" s="1"/>
      <c r="G1057" s="1"/>
      <c r="H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</row>
    <row r="1058" spans="1:19" x14ac:dyDescent="0.2">
      <c r="A1058" s="1"/>
      <c r="C1058" s="1"/>
      <c r="G1058" s="1"/>
      <c r="H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</row>
    <row r="1059" spans="1:19" x14ac:dyDescent="0.2">
      <c r="A1059" s="1"/>
      <c r="C1059" s="1"/>
      <c r="G1059" s="1"/>
      <c r="H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</row>
    <row r="1060" spans="1:19" x14ac:dyDescent="0.2">
      <c r="A1060" s="1"/>
      <c r="C1060" s="1"/>
      <c r="G1060" s="1"/>
      <c r="H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</row>
    <row r="1061" spans="1:19" x14ac:dyDescent="0.2">
      <c r="A1061" s="1"/>
      <c r="C1061" s="1"/>
      <c r="G1061" s="1"/>
      <c r="H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</row>
    <row r="1062" spans="1:19" x14ac:dyDescent="0.2">
      <c r="A1062" s="1"/>
      <c r="C1062" s="1"/>
      <c r="G1062" s="1"/>
      <c r="H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</row>
    <row r="1063" spans="1:19" x14ac:dyDescent="0.2">
      <c r="A1063" s="1"/>
      <c r="C1063" s="1"/>
      <c r="G1063" s="1"/>
      <c r="H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</row>
    <row r="1064" spans="1:19" x14ac:dyDescent="0.2">
      <c r="A1064" s="1"/>
      <c r="C1064" s="1"/>
      <c r="G1064" s="1"/>
      <c r="H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</row>
    <row r="1065" spans="1:19" x14ac:dyDescent="0.2">
      <c r="A1065" s="1"/>
      <c r="C1065" s="1"/>
      <c r="G1065" s="1"/>
      <c r="H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</row>
    <row r="1066" spans="1:19" x14ac:dyDescent="0.2">
      <c r="A1066" s="1"/>
      <c r="C1066" s="1"/>
      <c r="G1066" s="1"/>
      <c r="H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</row>
    <row r="1067" spans="1:19" x14ac:dyDescent="0.2">
      <c r="A1067" s="1"/>
      <c r="C1067" s="1"/>
      <c r="G1067" s="1"/>
      <c r="H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</row>
    <row r="1068" spans="1:19" x14ac:dyDescent="0.2">
      <c r="A1068" s="1"/>
      <c r="C1068" s="1"/>
      <c r="G1068" s="1"/>
      <c r="H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</row>
    <row r="1069" spans="1:19" x14ac:dyDescent="0.2">
      <c r="A1069" s="1"/>
      <c r="C1069" s="1"/>
      <c r="G1069" s="1"/>
      <c r="H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</row>
    <row r="1070" spans="1:19" x14ac:dyDescent="0.2">
      <c r="A1070" s="1"/>
      <c r="C1070" s="1"/>
      <c r="G1070" s="1"/>
      <c r="H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</row>
    <row r="1071" spans="1:19" x14ac:dyDescent="0.2">
      <c r="A1071" s="1"/>
      <c r="C1071" s="1"/>
      <c r="G1071" s="1"/>
      <c r="H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</row>
    <row r="1072" spans="1:19" x14ac:dyDescent="0.2">
      <c r="A1072" s="1"/>
      <c r="C1072" s="1"/>
      <c r="G1072" s="1"/>
      <c r="H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</row>
    <row r="1073" spans="1:19" x14ac:dyDescent="0.2">
      <c r="A1073" s="1"/>
      <c r="C1073" s="1"/>
      <c r="G1073" s="1"/>
      <c r="H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</row>
    <row r="1074" spans="1:19" x14ac:dyDescent="0.2">
      <c r="A1074" s="1"/>
      <c r="C1074" s="1"/>
      <c r="G1074" s="1"/>
      <c r="H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</row>
    <row r="1075" spans="1:19" x14ac:dyDescent="0.2">
      <c r="A1075" s="1"/>
      <c r="C1075" s="1"/>
      <c r="G1075" s="1"/>
      <c r="H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</row>
    <row r="1076" spans="1:19" x14ac:dyDescent="0.2">
      <c r="A1076" s="1"/>
      <c r="C1076" s="1"/>
      <c r="G1076" s="1"/>
      <c r="H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</row>
    <row r="1077" spans="1:19" x14ac:dyDescent="0.2">
      <c r="A1077" s="1"/>
      <c r="C1077" s="1"/>
      <c r="G1077" s="1"/>
      <c r="H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</row>
    <row r="1078" spans="1:19" x14ac:dyDescent="0.2">
      <c r="A1078" s="1"/>
      <c r="C1078" s="1"/>
      <c r="G1078" s="1"/>
      <c r="H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</row>
    <row r="1079" spans="1:19" x14ac:dyDescent="0.2">
      <c r="A1079" s="1"/>
      <c r="C1079" s="1"/>
      <c r="G1079" s="1"/>
      <c r="H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</row>
    <row r="1080" spans="1:19" x14ac:dyDescent="0.2">
      <c r="A1080" s="1"/>
      <c r="C1080" s="1"/>
      <c r="G1080" s="1"/>
      <c r="H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</row>
    <row r="1081" spans="1:19" x14ac:dyDescent="0.2">
      <c r="A1081" s="1"/>
      <c r="C1081" s="1"/>
      <c r="G1081" s="1"/>
      <c r="H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</row>
    <row r="1082" spans="1:19" x14ac:dyDescent="0.2">
      <c r="A1082" s="1"/>
      <c r="C1082" s="1"/>
      <c r="G1082" s="1"/>
      <c r="H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</row>
    <row r="1083" spans="1:19" x14ac:dyDescent="0.2">
      <c r="A1083" s="1"/>
      <c r="C1083" s="1"/>
      <c r="G1083" s="1"/>
      <c r="H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</row>
    <row r="1084" spans="1:19" x14ac:dyDescent="0.2">
      <c r="A1084" s="1"/>
      <c r="C1084" s="1"/>
      <c r="G1084" s="1"/>
      <c r="H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</row>
    <row r="1085" spans="1:19" x14ac:dyDescent="0.2">
      <c r="A1085" s="1"/>
      <c r="C1085" s="1"/>
      <c r="G1085" s="1"/>
      <c r="H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</row>
    <row r="1086" spans="1:19" x14ac:dyDescent="0.2">
      <c r="A1086" s="1"/>
      <c r="C1086" s="1"/>
      <c r="G1086" s="1"/>
      <c r="H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</row>
    <row r="1087" spans="1:19" x14ac:dyDescent="0.2">
      <c r="A1087" s="1"/>
      <c r="C1087" s="1"/>
      <c r="G1087" s="1"/>
      <c r="H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</row>
    <row r="1088" spans="1:19" x14ac:dyDescent="0.2">
      <c r="A1088" s="1"/>
      <c r="C1088" s="1"/>
      <c r="G1088" s="1"/>
      <c r="H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</row>
    <row r="1089" spans="1:19" x14ac:dyDescent="0.2">
      <c r="A1089" s="1"/>
      <c r="C1089" s="1"/>
      <c r="G1089" s="1"/>
      <c r="H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</row>
    <row r="1090" spans="1:19" x14ac:dyDescent="0.2">
      <c r="A1090" s="1"/>
      <c r="C1090" s="1"/>
      <c r="G1090" s="1"/>
      <c r="H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</row>
    <row r="1091" spans="1:19" x14ac:dyDescent="0.2">
      <c r="A1091" s="1"/>
      <c r="C1091" s="1"/>
      <c r="G1091" s="1"/>
      <c r="H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</row>
    <row r="1092" spans="1:19" x14ac:dyDescent="0.2">
      <c r="A1092" s="1"/>
      <c r="C1092" s="1"/>
      <c r="G1092" s="1"/>
      <c r="H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</row>
    <row r="1093" spans="1:19" x14ac:dyDescent="0.2">
      <c r="A1093" s="1"/>
      <c r="C1093" s="1"/>
      <c r="G1093" s="1"/>
      <c r="H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</row>
    <row r="1094" spans="1:19" x14ac:dyDescent="0.2">
      <c r="A1094" s="1"/>
      <c r="C1094" s="1"/>
      <c r="G1094" s="1"/>
      <c r="H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</row>
    <row r="1095" spans="1:19" x14ac:dyDescent="0.2">
      <c r="A1095" s="1"/>
      <c r="C1095" s="1"/>
      <c r="G1095" s="1"/>
      <c r="H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</row>
    <row r="1096" spans="1:19" x14ac:dyDescent="0.2">
      <c r="A1096" s="1"/>
      <c r="C1096" s="1"/>
      <c r="G1096" s="1"/>
      <c r="H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spans="1:19" x14ac:dyDescent="0.2">
      <c r="A1097" s="1"/>
      <c r="C1097" s="1"/>
      <c r="G1097" s="1"/>
      <c r="H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</row>
    <row r="1098" spans="1:19" x14ac:dyDescent="0.2">
      <c r="A1098" s="1"/>
      <c r="C1098" s="1"/>
      <c r="G1098" s="1"/>
      <c r="H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</row>
    <row r="1099" spans="1:19" x14ac:dyDescent="0.2">
      <c r="A1099" s="1"/>
      <c r="C1099" s="1"/>
      <c r="G1099" s="1"/>
      <c r="H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</row>
    <row r="1100" spans="1:19" x14ac:dyDescent="0.2">
      <c r="A1100" s="1"/>
      <c r="C1100" s="1"/>
      <c r="G1100" s="1"/>
      <c r="H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</row>
    <row r="1101" spans="1:19" x14ac:dyDescent="0.2">
      <c r="A1101" s="1"/>
      <c r="C1101" s="1"/>
      <c r="G1101" s="1"/>
      <c r="H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</row>
    <row r="1102" spans="1:19" x14ac:dyDescent="0.2">
      <c r="A1102" s="1"/>
      <c r="C1102" s="1"/>
      <c r="G1102" s="1"/>
      <c r="H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</row>
    <row r="1103" spans="1:19" x14ac:dyDescent="0.2">
      <c r="A1103" s="1"/>
      <c r="C1103" s="1"/>
      <c r="G1103" s="1"/>
      <c r="H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spans="1:19" x14ac:dyDescent="0.2">
      <c r="A1104" s="1"/>
      <c r="C1104" s="1"/>
      <c r="G1104" s="1"/>
      <c r="H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</row>
    <row r="1105" spans="1:19" x14ac:dyDescent="0.2">
      <c r="A1105" s="1"/>
      <c r="C1105" s="1"/>
      <c r="G1105" s="1"/>
      <c r="H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</row>
    <row r="1106" spans="1:19" x14ac:dyDescent="0.2">
      <c r="A1106" s="1"/>
      <c r="C1106" s="1"/>
      <c r="G1106" s="1"/>
      <c r="H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</row>
    <row r="1107" spans="1:19" x14ac:dyDescent="0.2">
      <c r="A1107" s="1"/>
      <c r="C1107" s="1"/>
      <c r="G1107" s="1"/>
      <c r="H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</row>
    <row r="1108" spans="1:19" x14ac:dyDescent="0.2">
      <c r="A1108" s="1"/>
      <c r="C1108" s="1"/>
      <c r="G1108" s="1"/>
      <c r="H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</row>
    <row r="1109" spans="1:19" x14ac:dyDescent="0.2">
      <c r="A1109" s="1"/>
      <c r="C1109" s="1"/>
      <c r="G1109" s="1"/>
      <c r="H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</row>
    <row r="1110" spans="1:19" x14ac:dyDescent="0.2">
      <c r="A1110" s="1"/>
      <c r="C1110" s="1"/>
      <c r="G1110" s="1"/>
      <c r="H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spans="1:19" x14ac:dyDescent="0.2">
      <c r="A1111" s="1"/>
      <c r="C1111" s="1"/>
      <c r="G1111" s="1"/>
      <c r="H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</row>
    <row r="1112" spans="1:19" x14ac:dyDescent="0.2">
      <c r="A1112" s="1"/>
      <c r="C1112" s="1"/>
      <c r="G1112" s="1"/>
      <c r="H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</row>
    <row r="1113" spans="1:19" x14ac:dyDescent="0.2">
      <c r="A1113" s="1"/>
      <c r="C1113" s="1"/>
      <c r="G1113" s="1"/>
      <c r="H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</row>
    <row r="1114" spans="1:19" x14ac:dyDescent="0.2">
      <c r="A1114" s="1"/>
      <c r="C1114" s="1"/>
      <c r="G1114" s="1"/>
      <c r="H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</row>
    <row r="1115" spans="1:19" x14ac:dyDescent="0.2">
      <c r="A1115" s="1"/>
      <c r="C1115" s="1"/>
      <c r="G1115" s="1"/>
      <c r="H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</row>
    <row r="1116" spans="1:19" x14ac:dyDescent="0.2">
      <c r="A1116" s="1"/>
      <c r="C1116" s="1"/>
      <c r="G1116" s="1"/>
      <c r="H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</row>
    <row r="1117" spans="1:19" x14ac:dyDescent="0.2">
      <c r="A1117" s="1"/>
      <c r="C1117" s="1"/>
      <c r="G1117" s="1"/>
      <c r="H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 spans="1:19" x14ac:dyDescent="0.2">
      <c r="A1118" s="1"/>
      <c r="C1118" s="1"/>
      <c r="G1118" s="1"/>
      <c r="H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 spans="1:19" x14ac:dyDescent="0.2">
      <c r="A1119" s="1"/>
      <c r="C1119" s="1"/>
      <c r="G1119" s="1"/>
      <c r="H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  <row r="1120" spans="1:19" x14ac:dyDescent="0.2">
      <c r="A1120" s="1"/>
      <c r="C1120" s="1"/>
      <c r="G1120" s="1"/>
      <c r="H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</row>
    <row r="1121" spans="1:19" x14ac:dyDescent="0.2">
      <c r="A1121" s="1"/>
      <c r="C1121" s="1"/>
      <c r="G1121" s="1"/>
      <c r="H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</row>
    <row r="1122" spans="1:19" x14ac:dyDescent="0.2">
      <c r="A1122" s="1"/>
      <c r="C1122" s="1"/>
      <c r="G1122" s="1"/>
      <c r="H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</row>
    <row r="1123" spans="1:19" x14ac:dyDescent="0.2">
      <c r="A1123" s="1"/>
      <c r="C1123" s="1"/>
      <c r="G1123" s="1"/>
      <c r="H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</row>
    <row r="1124" spans="1:19" x14ac:dyDescent="0.2">
      <c r="A1124" s="1"/>
      <c r="C1124" s="1"/>
      <c r="G1124" s="1"/>
      <c r="H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</row>
    <row r="1125" spans="1:19" x14ac:dyDescent="0.2">
      <c r="A1125" s="1"/>
      <c r="C1125" s="1"/>
      <c r="G1125" s="1"/>
      <c r="H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</row>
    <row r="1126" spans="1:19" x14ac:dyDescent="0.2">
      <c r="A1126" s="1"/>
      <c r="C1126" s="1"/>
      <c r="G1126" s="1"/>
      <c r="H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</row>
    <row r="1127" spans="1:19" x14ac:dyDescent="0.2">
      <c r="A1127" s="1"/>
      <c r="C1127" s="1"/>
      <c r="G1127" s="1"/>
      <c r="H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</row>
    <row r="1128" spans="1:19" x14ac:dyDescent="0.2">
      <c r="A1128" s="1"/>
      <c r="C1128" s="1"/>
      <c r="G1128" s="1"/>
      <c r="H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</row>
    <row r="1129" spans="1:19" x14ac:dyDescent="0.2">
      <c r="A1129" s="1"/>
      <c r="C1129" s="1"/>
      <c r="G1129" s="1"/>
      <c r="H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</row>
    <row r="1130" spans="1:19" x14ac:dyDescent="0.2">
      <c r="A1130" s="1"/>
      <c r="C1130" s="1"/>
      <c r="G1130" s="1"/>
      <c r="H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</row>
    <row r="1131" spans="1:19" x14ac:dyDescent="0.2">
      <c r="A1131" s="1"/>
      <c r="C1131" s="1"/>
      <c r="G1131" s="1"/>
      <c r="H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</row>
    <row r="1132" spans="1:19" x14ac:dyDescent="0.2">
      <c r="A1132" s="1"/>
      <c r="C1132" s="1"/>
      <c r="G1132" s="1"/>
      <c r="H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</row>
    <row r="1133" spans="1:19" x14ac:dyDescent="0.2">
      <c r="A1133" s="1"/>
      <c r="C1133" s="1"/>
      <c r="G1133" s="1"/>
      <c r="H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</row>
    <row r="1134" spans="1:19" x14ac:dyDescent="0.2">
      <c r="A1134" s="1"/>
      <c r="C1134" s="1"/>
      <c r="G1134" s="1"/>
      <c r="H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</row>
    <row r="1135" spans="1:19" x14ac:dyDescent="0.2">
      <c r="A1135" s="1"/>
      <c r="C1135" s="1"/>
      <c r="G1135" s="1"/>
      <c r="H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</row>
    <row r="1136" spans="1:19" x14ac:dyDescent="0.2">
      <c r="A1136" s="1"/>
      <c r="C1136" s="1"/>
      <c r="G1136" s="1"/>
      <c r="H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</row>
    <row r="1137" spans="1:19" x14ac:dyDescent="0.2">
      <c r="A1137" s="1"/>
      <c r="C1137" s="1"/>
      <c r="G1137" s="1"/>
      <c r="H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</row>
    <row r="1138" spans="1:19" x14ac:dyDescent="0.2">
      <c r="A1138" s="1"/>
      <c r="C1138" s="1"/>
      <c r="G1138" s="1"/>
      <c r="H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</row>
    <row r="1139" spans="1:19" x14ac:dyDescent="0.2">
      <c r="A1139" s="1"/>
      <c r="C1139" s="1"/>
      <c r="G1139" s="1"/>
      <c r="H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</row>
    <row r="1140" spans="1:19" x14ac:dyDescent="0.2">
      <c r="A1140" s="1"/>
      <c r="C1140" s="1"/>
      <c r="G1140" s="1"/>
      <c r="H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</row>
    <row r="1141" spans="1:19" x14ac:dyDescent="0.2">
      <c r="A1141" s="1"/>
      <c r="C1141" s="1"/>
      <c r="G1141" s="1"/>
      <c r="H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</row>
    <row r="1142" spans="1:19" x14ac:dyDescent="0.2">
      <c r="A1142" s="1"/>
      <c r="C1142" s="1"/>
      <c r="G1142" s="1"/>
      <c r="H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</row>
    <row r="1143" spans="1:19" x14ac:dyDescent="0.2">
      <c r="A1143" s="1"/>
      <c r="C1143" s="1"/>
      <c r="G1143" s="1"/>
      <c r="H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</row>
    <row r="1144" spans="1:19" x14ac:dyDescent="0.2">
      <c r="A1144" s="1"/>
      <c r="C1144" s="1"/>
      <c r="G1144" s="1"/>
      <c r="H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</row>
    <row r="1145" spans="1:19" x14ac:dyDescent="0.2">
      <c r="A1145" s="1"/>
      <c r="C1145" s="1"/>
      <c r="G1145" s="1"/>
      <c r="H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</row>
    <row r="1146" spans="1:19" x14ac:dyDescent="0.2">
      <c r="A1146" s="1"/>
      <c r="C1146" s="1"/>
      <c r="G1146" s="1"/>
      <c r="H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</row>
    <row r="1147" spans="1:19" x14ac:dyDescent="0.2">
      <c r="A1147" s="1"/>
      <c r="C1147" s="1"/>
      <c r="G1147" s="1"/>
      <c r="H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</row>
    <row r="1148" spans="1:19" x14ac:dyDescent="0.2">
      <c r="A1148" s="1"/>
      <c r="C1148" s="1"/>
      <c r="G1148" s="1"/>
      <c r="H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</row>
    <row r="1149" spans="1:19" x14ac:dyDescent="0.2">
      <c r="A1149" s="1"/>
      <c r="C1149" s="1"/>
      <c r="G1149" s="1"/>
      <c r="H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</row>
    <row r="1150" spans="1:19" x14ac:dyDescent="0.2">
      <c r="A1150" s="1"/>
      <c r="C1150" s="1"/>
      <c r="G1150" s="1"/>
      <c r="H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</row>
    <row r="1151" spans="1:19" x14ac:dyDescent="0.2">
      <c r="A1151" s="1"/>
      <c r="C1151" s="1"/>
      <c r="G1151" s="1"/>
      <c r="H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</row>
    <row r="1152" spans="1:19" x14ac:dyDescent="0.2">
      <c r="A1152" s="1"/>
      <c r="C1152" s="1"/>
      <c r="G1152" s="1"/>
      <c r="H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</row>
    <row r="1153" spans="1:19" x14ac:dyDescent="0.2">
      <c r="A1153" s="1"/>
      <c r="C1153" s="1"/>
      <c r="G1153" s="1"/>
      <c r="H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</row>
    <row r="1154" spans="1:19" x14ac:dyDescent="0.2">
      <c r="A1154" s="1"/>
      <c r="C1154" s="1"/>
      <c r="G1154" s="1"/>
      <c r="H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</row>
    <row r="1155" spans="1:19" x14ac:dyDescent="0.2">
      <c r="A1155" s="1"/>
      <c r="C1155" s="1"/>
      <c r="G1155" s="1"/>
      <c r="H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</row>
    <row r="1156" spans="1:19" x14ac:dyDescent="0.2">
      <c r="A1156" s="1"/>
      <c r="C1156" s="1"/>
      <c r="G1156" s="1"/>
      <c r="H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</row>
    <row r="1157" spans="1:19" x14ac:dyDescent="0.2">
      <c r="A1157" s="1"/>
      <c r="C1157" s="1"/>
      <c r="G1157" s="1"/>
      <c r="H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</row>
    <row r="1158" spans="1:19" x14ac:dyDescent="0.2">
      <c r="A1158" s="1"/>
      <c r="C1158" s="1"/>
      <c r="G1158" s="1"/>
      <c r="H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</row>
    <row r="1159" spans="1:19" x14ac:dyDescent="0.2">
      <c r="A1159" s="1"/>
      <c r="C1159" s="1"/>
      <c r="G1159" s="1"/>
      <c r="H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</row>
    <row r="1160" spans="1:19" x14ac:dyDescent="0.2">
      <c r="A1160" s="1"/>
      <c r="C1160" s="1"/>
      <c r="G1160" s="1"/>
      <c r="H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</row>
    <row r="1161" spans="1:19" x14ac:dyDescent="0.2">
      <c r="A1161" s="1"/>
      <c r="C1161" s="1"/>
      <c r="G1161" s="1"/>
      <c r="H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</row>
    <row r="1162" spans="1:19" x14ac:dyDescent="0.2">
      <c r="A1162" s="1"/>
      <c r="C1162" s="1"/>
      <c r="G1162" s="1"/>
      <c r="H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</row>
    <row r="1163" spans="1:19" x14ac:dyDescent="0.2">
      <c r="A1163" s="1"/>
      <c r="C1163" s="1"/>
      <c r="G1163" s="1"/>
      <c r="H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</row>
    <row r="1164" spans="1:19" x14ac:dyDescent="0.2">
      <c r="A1164" s="1"/>
      <c r="C1164" s="1"/>
      <c r="G1164" s="1"/>
      <c r="H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</row>
    <row r="1165" spans="1:19" x14ac:dyDescent="0.2">
      <c r="A1165" s="1"/>
      <c r="C1165" s="1"/>
      <c r="G1165" s="1"/>
      <c r="H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</row>
    <row r="1166" spans="1:19" x14ac:dyDescent="0.2">
      <c r="A1166" s="1"/>
      <c r="C1166" s="1"/>
      <c r="G1166" s="1"/>
      <c r="H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</row>
    <row r="1167" spans="1:19" x14ac:dyDescent="0.2">
      <c r="A1167" s="1"/>
      <c r="C1167" s="1"/>
      <c r="G1167" s="1"/>
      <c r="H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</row>
    <row r="1168" spans="1:19" x14ac:dyDescent="0.2">
      <c r="A1168" s="1"/>
      <c r="C1168" s="1"/>
      <c r="G1168" s="1"/>
      <c r="H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</row>
    <row r="1169" spans="1:19" x14ac:dyDescent="0.2">
      <c r="A1169" s="1"/>
      <c r="C1169" s="1"/>
      <c r="G1169" s="1"/>
      <c r="H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</row>
    <row r="1170" spans="1:19" x14ac:dyDescent="0.2">
      <c r="A1170" s="1"/>
      <c r="C1170" s="1"/>
      <c r="G1170" s="1"/>
      <c r="H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</row>
    <row r="1171" spans="1:19" x14ac:dyDescent="0.2">
      <c r="A1171" s="1"/>
      <c r="C1171" s="1"/>
      <c r="G1171" s="1"/>
      <c r="H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</row>
    <row r="1172" spans="1:19" x14ac:dyDescent="0.2">
      <c r="A1172" s="1"/>
      <c r="C1172" s="1"/>
      <c r="G1172" s="1"/>
      <c r="H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</row>
    <row r="1173" spans="1:19" x14ac:dyDescent="0.2">
      <c r="A1173" s="1"/>
      <c r="C1173" s="1"/>
      <c r="G1173" s="1"/>
      <c r="H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</row>
    <row r="1174" spans="1:19" x14ac:dyDescent="0.2">
      <c r="A1174" s="1"/>
      <c r="C1174" s="1"/>
      <c r="G1174" s="1"/>
      <c r="H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</row>
    <row r="1175" spans="1:19" x14ac:dyDescent="0.2">
      <c r="A1175" s="1"/>
      <c r="C1175" s="1"/>
      <c r="G1175" s="1"/>
      <c r="H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</row>
    <row r="1176" spans="1:19" x14ac:dyDescent="0.2">
      <c r="A1176" s="1"/>
      <c r="C1176" s="1"/>
      <c r="G1176" s="1"/>
      <c r="H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</row>
    <row r="1177" spans="1:19" x14ac:dyDescent="0.2">
      <c r="A1177" s="1"/>
      <c r="C1177" s="1"/>
      <c r="G1177" s="1"/>
      <c r="H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</row>
    <row r="1178" spans="1:19" x14ac:dyDescent="0.2">
      <c r="A1178" s="1"/>
      <c r="C1178" s="1"/>
      <c r="G1178" s="1"/>
      <c r="H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</row>
    <row r="1179" spans="1:19" x14ac:dyDescent="0.2">
      <c r="A1179" s="1"/>
      <c r="C1179" s="1"/>
      <c r="G1179" s="1"/>
      <c r="H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</row>
    <row r="1180" spans="1:19" x14ac:dyDescent="0.2">
      <c r="A1180" s="1"/>
      <c r="C1180" s="1"/>
      <c r="G1180" s="1"/>
      <c r="H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</row>
    <row r="1181" spans="1:19" x14ac:dyDescent="0.2">
      <c r="A1181" s="1"/>
      <c r="C1181" s="1"/>
      <c r="G1181" s="1"/>
      <c r="H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</row>
    <row r="1182" spans="1:19" x14ac:dyDescent="0.2">
      <c r="A1182" s="1"/>
      <c r="C1182" s="1"/>
      <c r="G1182" s="1"/>
      <c r="H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</row>
    <row r="1183" spans="1:19" x14ac:dyDescent="0.2">
      <c r="A1183" s="1"/>
      <c r="C1183" s="1"/>
      <c r="G1183" s="1"/>
      <c r="H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</row>
    <row r="1184" spans="1:19" x14ac:dyDescent="0.2">
      <c r="A1184" s="1"/>
      <c r="C1184" s="1"/>
      <c r="G1184" s="1"/>
      <c r="H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</row>
    <row r="1185" spans="1:19" x14ac:dyDescent="0.2">
      <c r="A1185" s="1"/>
      <c r="C1185" s="1"/>
      <c r="G1185" s="1"/>
      <c r="H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</row>
    <row r="1186" spans="1:19" x14ac:dyDescent="0.2">
      <c r="A1186" s="1"/>
      <c r="C1186" s="1"/>
      <c r="G1186" s="1"/>
      <c r="H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</row>
    <row r="1187" spans="1:19" x14ac:dyDescent="0.2">
      <c r="A1187" s="1"/>
      <c r="C1187" s="1"/>
      <c r="G1187" s="1"/>
      <c r="H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</row>
    <row r="1188" spans="1:19" x14ac:dyDescent="0.2">
      <c r="A1188" s="1"/>
      <c r="C1188" s="1"/>
      <c r="G1188" s="1"/>
      <c r="H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</row>
    <row r="1189" spans="1:19" x14ac:dyDescent="0.2">
      <c r="A1189" s="1"/>
      <c r="C1189" s="1"/>
      <c r="G1189" s="1"/>
      <c r="H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</row>
    <row r="1190" spans="1:19" x14ac:dyDescent="0.2">
      <c r="A1190" s="1"/>
      <c r="C1190" s="1"/>
      <c r="G1190" s="1"/>
      <c r="H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</row>
    <row r="1191" spans="1:19" x14ac:dyDescent="0.2">
      <c r="A1191" s="1"/>
      <c r="C1191" s="1"/>
      <c r="G1191" s="1"/>
      <c r="H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</row>
    <row r="1192" spans="1:19" x14ac:dyDescent="0.2">
      <c r="A1192" s="1"/>
      <c r="C1192" s="1"/>
      <c r="G1192" s="1"/>
      <c r="H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</row>
    <row r="1193" spans="1:19" x14ac:dyDescent="0.2">
      <c r="A1193" s="1"/>
      <c r="C1193" s="1"/>
      <c r="G1193" s="1"/>
      <c r="H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</row>
    <row r="1194" spans="1:19" x14ac:dyDescent="0.2">
      <c r="A1194" s="1"/>
      <c r="C1194" s="1"/>
      <c r="G1194" s="1"/>
      <c r="H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</row>
    <row r="1195" spans="1:19" x14ac:dyDescent="0.2">
      <c r="A1195" s="1"/>
      <c r="C1195" s="1"/>
      <c r="G1195" s="1"/>
      <c r="H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</row>
    <row r="1196" spans="1:19" x14ac:dyDescent="0.2">
      <c r="A1196" s="1"/>
      <c r="C1196" s="1"/>
      <c r="G1196" s="1"/>
      <c r="H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</row>
    <row r="1197" spans="1:19" x14ac:dyDescent="0.2">
      <c r="A1197" s="1"/>
      <c r="C1197" s="1"/>
      <c r="G1197" s="1"/>
      <c r="H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</row>
    <row r="1198" spans="1:19" x14ac:dyDescent="0.2">
      <c r="A1198" s="1"/>
      <c r="C1198" s="1"/>
      <c r="G1198" s="1"/>
      <c r="H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</row>
    <row r="1199" spans="1:19" x14ac:dyDescent="0.2">
      <c r="A1199" s="1"/>
      <c r="C1199" s="1"/>
      <c r="G1199" s="1"/>
      <c r="H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</row>
    <row r="1200" spans="1:19" x14ac:dyDescent="0.2">
      <c r="A1200" s="1"/>
      <c r="C1200" s="1"/>
      <c r="G1200" s="1"/>
      <c r="H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</row>
    <row r="1201" spans="1:19" x14ac:dyDescent="0.2">
      <c r="A1201" s="1"/>
      <c r="C1201" s="1"/>
      <c r="G1201" s="1"/>
      <c r="H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</row>
    <row r="1202" spans="1:19" x14ac:dyDescent="0.2">
      <c r="A1202" s="1"/>
      <c r="C1202" s="1"/>
      <c r="G1202" s="1"/>
      <c r="H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</row>
    <row r="1203" spans="1:19" x14ac:dyDescent="0.2">
      <c r="A1203" s="1"/>
      <c r="C1203" s="1"/>
      <c r="G1203" s="1"/>
      <c r="H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</row>
    <row r="1204" spans="1:19" x14ac:dyDescent="0.2">
      <c r="A1204" s="1"/>
      <c r="C1204" s="1"/>
      <c r="G1204" s="1"/>
      <c r="H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</row>
    <row r="1205" spans="1:19" x14ac:dyDescent="0.2">
      <c r="A1205" s="1"/>
      <c r="C1205" s="1"/>
      <c r="G1205" s="1"/>
      <c r="H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</row>
    <row r="1206" spans="1:19" x14ac:dyDescent="0.2">
      <c r="A1206" s="1"/>
      <c r="C1206" s="1"/>
      <c r="G1206" s="1"/>
      <c r="H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</row>
    <row r="1207" spans="1:19" x14ac:dyDescent="0.2">
      <c r="A1207" s="1"/>
      <c r="C1207" s="1"/>
      <c r="G1207" s="1"/>
      <c r="H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</row>
    <row r="1208" spans="1:19" x14ac:dyDescent="0.2">
      <c r="A1208" s="1"/>
      <c r="C1208" s="1"/>
      <c r="G1208" s="1"/>
      <c r="H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</row>
    <row r="1209" spans="1:19" x14ac:dyDescent="0.2">
      <c r="A1209" s="1"/>
      <c r="C1209" s="1"/>
      <c r="G1209" s="1"/>
      <c r="H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</row>
    <row r="1210" spans="1:19" x14ac:dyDescent="0.2">
      <c r="A1210" s="1"/>
      <c r="C1210" s="1"/>
      <c r="G1210" s="1"/>
      <c r="H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</row>
    <row r="1211" spans="1:19" x14ac:dyDescent="0.2">
      <c r="A1211" s="1"/>
      <c r="C1211" s="1"/>
      <c r="G1211" s="1"/>
      <c r="H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</row>
    <row r="1212" spans="1:19" x14ac:dyDescent="0.2">
      <c r="A1212" s="1"/>
      <c r="C1212" s="1"/>
      <c r="G1212" s="1"/>
      <c r="H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</row>
    <row r="1213" spans="1:19" x14ac:dyDescent="0.2">
      <c r="A1213" s="1"/>
      <c r="C1213" s="1"/>
      <c r="G1213" s="1"/>
      <c r="H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</row>
    <row r="1214" spans="1:19" x14ac:dyDescent="0.2">
      <c r="A1214" s="1"/>
      <c r="C1214" s="1"/>
      <c r="G1214" s="1"/>
      <c r="H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</row>
    <row r="1215" spans="1:19" x14ac:dyDescent="0.2">
      <c r="A1215" s="1"/>
      <c r="C1215" s="1"/>
      <c r="G1215" s="1"/>
      <c r="H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</row>
    <row r="1216" spans="1:19" x14ac:dyDescent="0.2">
      <c r="A1216" s="1"/>
      <c r="C1216" s="1"/>
      <c r="G1216" s="1"/>
      <c r="H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</row>
    <row r="1217" spans="1:19" x14ac:dyDescent="0.2">
      <c r="A1217" s="1"/>
      <c r="C1217" s="1"/>
      <c r="G1217" s="1"/>
      <c r="H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</row>
    <row r="1218" spans="1:19" x14ac:dyDescent="0.2">
      <c r="A1218" s="1"/>
      <c r="C1218" s="1"/>
      <c r="G1218" s="1"/>
      <c r="H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</row>
    <row r="1219" spans="1:19" x14ac:dyDescent="0.2">
      <c r="A1219" s="1"/>
      <c r="C1219" s="1"/>
      <c r="G1219" s="1"/>
      <c r="H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</row>
    <row r="1220" spans="1:19" x14ac:dyDescent="0.2">
      <c r="A1220" s="1"/>
      <c r="C1220" s="1"/>
      <c r="G1220" s="1"/>
      <c r="H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</row>
    <row r="1221" spans="1:19" x14ac:dyDescent="0.2">
      <c r="A1221" s="1"/>
      <c r="C1221" s="1"/>
      <c r="G1221" s="1"/>
      <c r="H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</row>
    <row r="1222" spans="1:19" x14ac:dyDescent="0.2">
      <c r="A1222" s="1"/>
      <c r="C1222" s="1"/>
      <c r="G1222" s="1"/>
      <c r="H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</row>
    <row r="1223" spans="1:19" x14ac:dyDescent="0.2">
      <c r="A1223" s="1"/>
      <c r="C1223" s="1"/>
      <c r="G1223" s="1"/>
      <c r="H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</row>
    <row r="1224" spans="1:19" x14ac:dyDescent="0.2">
      <c r="A1224" s="1"/>
      <c r="C1224" s="1"/>
      <c r="G1224" s="1"/>
      <c r="H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</row>
    <row r="1225" spans="1:19" x14ac:dyDescent="0.2">
      <c r="A1225" s="1"/>
      <c r="C1225" s="1"/>
      <c r="G1225" s="1"/>
      <c r="H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</row>
    <row r="1226" spans="1:19" x14ac:dyDescent="0.2">
      <c r="A1226" s="1"/>
      <c r="C1226" s="1"/>
      <c r="G1226" s="1"/>
      <c r="H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</row>
    <row r="1227" spans="1:19" x14ac:dyDescent="0.2">
      <c r="A1227" s="1"/>
      <c r="C1227" s="1"/>
      <c r="G1227" s="1"/>
      <c r="H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</row>
    <row r="1228" spans="1:19" x14ac:dyDescent="0.2">
      <c r="A1228" s="1"/>
      <c r="C1228" s="1"/>
      <c r="G1228" s="1"/>
      <c r="H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</row>
    <row r="1229" spans="1:19" x14ac:dyDescent="0.2">
      <c r="A1229" s="1"/>
      <c r="C1229" s="1"/>
      <c r="G1229" s="1"/>
      <c r="H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</row>
    <row r="1230" spans="1:19" x14ac:dyDescent="0.2">
      <c r="A1230" s="1"/>
      <c r="C1230" s="1"/>
      <c r="G1230" s="1"/>
      <c r="H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</row>
    <row r="1231" spans="1:19" x14ac:dyDescent="0.2">
      <c r="A1231" s="1"/>
      <c r="C1231" s="1"/>
      <c r="G1231" s="1"/>
      <c r="H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</row>
    <row r="1232" spans="1:19" x14ac:dyDescent="0.2">
      <c r="A1232" s="1"/>
      <c r="C1232" s="1"/>
      <c r="G1232" s="1"/>
      <c r="H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</row>
    <row r="1233" spans="1:19" x14ac:dyDescent="0.2">
      <c r="A1233" s="1"/>
      <c r="C1233" s="1"/>
      <c r="G1233" s="1"/>
      <c r="H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</row>
    <row r="1234" spans="1:19" x14ac:dyDescent="0.2">
      <c r="A1234" s="1"/>
      <c r="C1234" s="1"/>
      <c r="G1234" s="1"/>
      <c r="H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</row>
    <row r="1235" spans="1:19" x14ac:dyDescent="0.2">
      <c r="A1235" s="1"/>
      <c r="C1235" s="1"/>
      <c r="G1235" s="1"/>
      <c r="H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</row>
    <row r="1236" spans="1:19" x14ac:dyDescent="0.2">
      <c r="A1236" s="1"/>
      <c r="C1236" s="1"/>
      <c r="G1236" s="1"/>
      <c r="H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</row>
    <row r="1237" spans="1:19" x14ac:dyDescent="0.2">
      <c r="A1237" s="1"/>
      <c r="C1237" s="1"/>
      <c r="G1237" s="1"/>
      <c r="H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</row>
    <row r="1238" spans="1:19" x14ac:dyDescent="0.2">
      <c r="A1238" s="1"/>
      <c r="C1238" s="1"/>
      <c r="G1238" s="1"/>
      <c r="H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</row>
    <row r="1239" spans="1:19" x14ac:dyDescent="0.2">
      <c r="A1239" s="1"/>
      <c r="C1239" s="1"/>
      <c r="G1239" s="1"/>
      <c r="H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</row>
    <row r="1240" spans="1:19" x14ac:dyDescent="0.2">
      <c r="A1240" s="1"/>
      <c r="C1240" s="1"/>
      <c r="G1240" s="1"/>
      <c r="H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</row>
    <row r="1241" spans="1:19" x14ac:dyDescent="0.2">
      <c r="A1241" s="1"/>
      <c r="C1241" s="1"/>
      <c r="G1241" s="1"/>
      <c r="H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</row>
    <row r="1242" spans="1:19" x14ac:dyDescent="0.2">
      <c r="A1242" s="1"/>
      <c r="C1242" s="1"/>
      <c r="G1242" s="1"/>
      <c r="H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</row>
    <row r="1243" spans="1:19" x14ac:dyDescent="0.2">
      <c r="A1243" s="1"/>
      <c r="C1243" s="1"/>
      <c r="G1243" s="1"/>
      <c r="H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</row>
    <row r="1244" spans="1:19" x14ac:dyDescent="0.2">
      <c r="A1244" s="1"/>
      <c r="C1244" s="1"/>
      <c r="G1244" s="1"/>
      <c r="H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</row>
    <row r="1245" spans="1:19" x14ac:dyDescent="0.2">
      <c r="A1245" s="1"/>
      <c r="C1245" s="1"/>
      <c r="G1245" s="1"/>
      <c r="H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</row>
    <row r="1246" spans="1:19" x14ac:dyDescent="0.2">
      <c r="A1246" s="1"/>
      <c r="C1246" s="1"/>
      <c r="G1246" s="1"/>
      <c r="H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</row>
    <row r="1247" spans="1:19" x14ac:dyDescent="0.2">
      <c r="A1247" s="1"/>
      <c r="C1247" s="1"/>
      <c r="G1247" s="1"/>
      <c r="H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</row>
    <row r="1248" spans="1:19" x14ac:dyDescent="0.2">
      <c r="A1248" s="1"/>
      <c r="C1248" s="1"/>
      <c r="G1248" s="1"/>
      <c r="H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</row>
    <row r="1249" spans="1:19" x14ac:dyDescent="0.2">
      <c r="A1249" s="1"/>
      <c r="C1249" s="1"/>
      <c r="G1249" s="1"/>
      <c r="H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</row>
    <row r="1250" spans="1:19" x14ac:dyDescent="0.2">
      <c r="A1250" s="1"/>
      <c r="C1250" s="1"/>
      <c r="G1250" s="1"/>
      <c r="H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</row>
    <row r="1251" spans="1:19" x14ac:dyDescent="0.2">
      <c r="A1251" s="1"/>
      <c r="C1251" s="1"/>
      <c r="G1251" s="1"/>
      <c r="H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</row>
    <row r="1252" spans="1:19" x14ac:dyDescent="0.2">
      <c r="A1252" s="1"/>
      <c r="C1252" s="1"/>
      <c r="G1252" s="1"/>
      <c r="H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</row>
    <row r="1253" spans="1:19" x14ac:dyDescent="0.2">
      <c r="A1253" s="1"/>
      <c r="C1253" s="1"/>
      <c r="G1253" s="1"/>
      <c r="H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</row>
    <row r="1254" spans="1:19" x14ac:dyDescent="0.2">
      <c r="A1254" s="1"/>
      <c r="C1254" s="1"/>
      <c r="G1254" s="1"/>
      <c r="H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</row>
    <row r="1255" spans="1:19" x14ac:dyDescent="0.2">
      <c r="A1255" s="1"/>
      <c r="C1255" s="1"/>
      <c r="G1255" s="1"/>
      <c r="H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</row>
    <row r="1256" spans="1:19" x14ac:dyDescent="0.2">
      <c r="A1256" s="1"/>
      <c r="C1256" s="1"/>
      <c r="G1256" s="1"/>
      <c r="H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</row>
    <row r="1257" spans="1:19" x14ac:dyDescent="0.2">
      <c r="A1257" s="1"/>
      <c r="C1257" s="1"/>
      <c r="G1257" s="1"/>
      <c r="H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</row>
    <row r="1258" spans="1:19" x14ac:dyDescent="0.2">
      <c r="A1258" s="1"/>
      <c r="C1258" s="1"/>
      <c r="G1258" s="1"/>
      <c r="H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</row>
    <row r="1259" spans="1:19" x14ac:dyDescent="0.2">
      <c r="A1259" s="1"/>
      <c r="C1259" s="1"/>
      <c r="G1259" s="1"/>
      <c r="H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</row>
    <row r="1260" spans="1:19" x14ac:dyDescent="0.2">
      <c r="A1260" s="1"/>
      <c r="C1260" s="1"/>
      <c r="G1260" s="1"/>
      <c r="H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</row>
    <row r="1261" spans="1:19" x14ac:dyDescent="0.2">
      <c r="A1261" s="1"/>
      <c r="C1261" s="1"/>
      <c r="G1261" s="1"/>
      <c r="H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</row>
    <row r="1262" spans="1:19" x14ac:dyDescent="0.2">
      <c r="A1262" s="1"/>
      <c r="C1262" s="1"/>
      <c r="G1262" s="1"/>
      <c r="H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</row>
    <row r="1263" spans="1:19" x14ac:dyDescent="0.2">
      <c r="A1263" s="1"/>
      <c r="C1263" s="1"/>
      <c r="G1263" s="1"/>
      <c r="H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</row>
    <row r="1264" spans="1:19" x14ac:dyDescent="0.2">
      <c r="A1264" s="1"/>
      <c r="C1264" s="1"/>
      <c r="G1264" s="1"/>
      <c r="H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</row>
    <row r="1265" spans="1:19" x14ac:dyDescent="0.2">
      <c r="A1265" s="1"/>
      <c r="C1265" s="1"/>
      <c r="G1265" s="1"/>
      <c r="H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</row>
    <row r="1266" spans="1:19" x14ac:dyDescent="0.2">
      <c r="A1266" s="1"/>
      <c r="C1266" s="1"/>
      <c r="G1266" s="1"/>
      <c r="H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</row>
    <row r="1267" spans="1:19" x14ac:dyDescent="0.2">
      <c r="A1267" s="1"/>
      <c r="C1267" s="1"/>
      <c r="G1267" s="1"/>
      <c r="H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</row>
    <row r="1268" spans="1:19" x14ac:dyDescent="0.2">
      <c r="A1268" s="1"/>
      <c r="C1268" s="1"/>
      <c r="G1268" s="1"/>
      <c r="H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</row>
    <row r="1269" spans="1:19" x14ac:dyDescent="0.2">
      <c r="A1269" s="1"/>
      <c r="C1269" s="1"/>
      <c r="G1269" s="1"/>
      <c r="H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</row>
    <row r="1270" spans="1:19" x14ac:dyDescent="0.2">
      <c r="A1270" s="1"/>
      <c r="C1270" s="1"/>
      <c r="G1270" s="1"/>
      <c r="H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</row>
    <row r="1271" spans="1:19" x14ac:dyDescent="0.2">
      <c r="A1271" s="1"/>
      <c r="C1271" s="1"/>
      <c r="G1271" s="1"/>
      <c r="H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</row>
    <row r="1272" spans="1:19" x14ac:dyDescent="0.2">
      <c r="A1272" s="1"/>
      <c r="C1272" s="1"/>
      <c r="G1272" s="1"/>
      <c r="H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</row>
    <row r="1273" spans="1:19" x14ac:dyDescent="0.2">
      <c r="A1273" s="1"/>
      <c r="C1273" s="1"/>
      <c r="G1273" s="1"/>
      <c r="H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</row>
    <row r="1274" spans="1:19" x14ac:dyDescent="0.2">
      <c r="A1274" s="1"/>
      <c r="C1274" s="1"/>
      <c r="G1274" s="1"/>
      <c r="H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</row>
    <row r="1275" spans="1:19" x14ac:dyDescent="0.2">
      <c r="A1275" s="1"/>
      <c r="C1275" s="1"/>
      <c r="G1275" s="1"/>
      <c r="H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</row>
    <row r="1276" spans="1:19" x14ac:dyDescent="0.2">
      <c r="A1276" s="1"/>
      <c r="C1276" s="1"/>
      <c r="G1276" s="1"/>
      <c r="H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</row>
    <row r="1277" spans="1:19" x14ac:dyDescent="0.2">
      <c r="A1277" s="1"/>
      <c r="C1277" s="1"/>
      <c r="G1277" s="1"/>
      <c r="H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</row>
    <row r="1278" spans="1:19" x14ac:dyDescent="0.2">
      <c r="A1278" s="1"/>
      <c r="C1278" s="1"/>
      <c r="G1278" s="1"/>
      <c r="H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</row>
    <row r="1279" spans="1:19" x14ac:dyDescent="0.2">
      <c r="A1279" s="1"/>
      <c r="C1279" s="1"/>
      <c r="G1279" s="1"/>
      <c r="H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</row>
    <row r="1280" spans="1:19" x14ac:dyDescent="0.2">
      <c r="A1280" s="1"/>
      <c r="C1280" s="1"/>
      <c r="G1280" s="1"/>
      <c r="H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</row>
    <row r="1281" spans="1:19" x14ac:dyDescent="0.2">
      <c r="A1281" s="1"/>
      <c r="C1281" s="1"/>
      <c r="G1281" s="1"/>
      <c r="H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</row>
    <row r="1282" spans="1:19" x14ac:dyDescent="0.2">
      <c r="A1282" s="1"/>
      <c r="C1282" s="1"/>
      <c r="G1282" s="1"/>
      <c r="H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</row>
    <row r="1283" spans="1:19" x14ac:dyDescent="0.2">
      <c r="A1283" s="1"/>
      <c r="C1283" s="1"/>
      <c r="G1283" s="1"/>
      <c r="H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</row>
    <row r="1284" spans="1:19" x14ac:dyDescent="0.2">
      <c r="A1284" s="1"/>
      <c r="C1284" s="1"/>
      <c r="G1284" s="1"/>
      <c r="H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</row>
    <row r="1285" spans="1:19" x14ac:dyDescent="0.2">
      <c r="A1285" s="1"/>
      <c r="C1285" s="1"/>
      <c r="G1285" s="1"/>
      <c r="H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</row>
    <row r="1286" spans="1:19" x14ac:dyDescent="0.2">
      <c r="A1286" s="1"/>
      <c r="C1286" s="1"/>
      <c r="G1286" s="1"/>
      <c r="H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</row>
    <row r="1287" spans="1:19" x14ac:dyDescent="0.2">
      <c r="A1287" s="1"/>
      <c r="C1287" s="1"/>
      <c r="G1287" s="1"/>
      <c r="H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</row>
    <row r="1288" spans="1:19" x14ac:dyDescent="0.2">
      <c r="A1288" s="1"/>
      <c r="C1288" s="1"/>
      <c r="G1288" s="1"/>
      <c r="H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</row>
    <row r="1289" spans="1:19" x14ac:dyDescent="0.2">
      <c r="A1289" s="1"/>
      <c r="C1289" s="1"/>
      <c r="G1289" s="1"/>
      <c r="H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</row>
    <row r="1290" spans="1:19" x14ac:dyDescent="0.2">
      <c r="A1290" s="1"/>
      <c r="C1290" s="1"/>
      <c r="G1290" s="1"/>
      <c r="H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</row>
    <row r="1291" spans="1:19" x14ac:dyDescent="0.2">
      <c r="A1291" s="1"/>
      <c r="C1291" s="1"/>
      <c r="G1291" s="1"/>
      <c r="H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</row>
    <row r="1292" spans="1:19" x14ac:dyDescent="0.2">
      <c r="A1292" s="1"/>
      <c r="C1292" s="1"/>
      <c r="G1292" s="1"/>
      <c r="H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</row>
    <row r="1293" spans="1:19" x14ac:dyDescent="0.2">
      <c r="A1293" s="1"/>
      <c r="C1293" s="1"/>
      <c r="G1293" s="1"/>
      <c r="H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</row>
    <row r="1294" spans="1:19" x14ac:dyDescent="0.2">
      <c r="A1294" s="1"/>
      <c r="C1294" s="1"/>
      <c r="G1294" s="1"/>
      <c r="H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</row>
    <row r="1295" spans="1:19" x14ac:dyDescent="0.2">
      <c r="A1295" s="1"/>
      <c r="C1295" s="1"/>
      <c r="G1295" s="1"/>
      <c r="H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</row>
    <row r="1296" spans="1:19" x14ac:dyDescent="0.2">
      <c r="A1296" s="1"/>
      <c r="C1296" s="1"/>
      <c r="G1296" s="1"/>
      <c r="H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</row>
    <row r="1297" spans="1:19" x14ac:dyDescent="0.2">
      <c r="A1297" s="1"/>
      <c r="C1297" s="1"/>
      <c r="G1297" s="1"/>
      <c r="H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</row>
    <row r="1298" spans="1:19" x14ac:dyDescent="0.2">
      <c r="A1298" s="1"/>
      <c r="C1298" s="1"/>
      <c r="G1298" s="1"/>
      <c r="H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</row>
    <row r="1299" spans="1:19" x14ac:dyDescent="0.2">
      <c r="A1299" s="1"/>
      <c r="C1299" s="1"/>
      <c r="G1299" s="1"/>
      <c r="H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</row>
    <row r="1300" spans="1:19" x14ac:dyDescent="0.2">
      <c r="A1300" s="1"/>
      <c r="C1300" s="1"/>
      <c r="G1300" s="1"/>
      <c r="H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</row>
    <row r="1301" spans="1:19" x14ac:dyDescent="0.2">
      <c r="A1301" s="1"/>
      <c r="C1301" s="1"/>
      <c r="G1301" s="1"/>
      <c r="H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</row>
    <row r="1302" spans="1:19" x14ac:dyDescent="0.2">
      <c r="A1302" s="1"/>
      <c r="C1302" s="1"/>
      <c r="G1302" s="1"/>
      <c r="H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</row>
    <row r="1303" spans="1:19" x14ac:dyDescent="0.2">
      <c r="A1303" s="1"/>
      <c r="C1303" s="1"/>
      <c r="G1303" s="1"/>
      <c r="H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</row>
    <row r="1304" spans="1:19" x14ac:dyDescent="0.2">
      <c r="A1304" s="1"/>
      <c r="C1304" s="1"/>
      <c r="G1304" s="1"/>
      <c r="H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</row>
    <row r="1305" spans="1:19" x14ac:dyDescent="0.2">
      <c r="A1305" s="1"/>
      <c r="C1305" s="1"/>
      <c r="G1305" s="1"/>
      <c r="H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</row>
    <row r="1306" spans="1:19" x14ac:dyDescent="0.2">
      <c r="A1306" s="1"/>
      <c r="C1306" s="1"/>
      <c r="G1306" s="1"/>
      <c r="H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</row>
    <row r="1307" spans="1:19" x14ac:dyDescent="0.2">
      <c r="A1307" s="1"/>
      <c r="C1307" s="1"/>
      <c r="G1307" s="1"/>
      <c r="H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</row>
    <row r="1308" spans="1:19" x14ac:dyDescent="0.2">
      <c r="A1308" s="1"/>
      <c r="C1308" s="1"/>
      <c r="G1308" s="1"/>
      <c r="H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</row>
    <row r="1309" spans="1:19" x14ac:dyDescent="0.2">
      <c r="A1309" s="1"/>
      <c r="C1309" s="1"/>
      <c r="G1309" s="1"/>
      <c r="H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</row>
    <row r="1310" spans="1:19" x14ac:dyDescent="0.2">
      <c r="A1310" s="1"/>
      <c r="C1310" s="1"/>
      <c r="G1310" s="1"/>
      <c r="H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</row>
    <row r="1311" spans="1:19" x14ac:dyDescent="0.2">
      <c r="A1311" s="1"/>
      <c r="C1311" s="1"/>
      <c r="G1311" s="1"/>
      <c r="H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</row>
    <row r="1312" spans="1:19" x14ac:dyDescent="0.2">
      <c r="A1312" s="1"/>
      <c r="C1312" s="1"/>
      <c r="G1312" s="1"/>
      <c r="H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</row>
    <row r="1313" spans="1:19" x14ac:dyDescent="0.2">
      <c r="A1313" s="1"/>
      <c r="C1313" s="1"/>
      <c r="G1313" s="1"/>
      <c r="H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</row>
    <row r="1314" spans="1:19" x14ac:dyDescent="0.2">
      <c r="A1314" s="1"/>
      <c r="C1314" s="1"/>
      <c r="G1314" s="1"/>
      <c r="H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</row>
    <row r="1315" spans="1:19" x14ac:dyDescent="0.2">
      <c r="A1315" s="1"/>
      <c r="C1315" s="1"/>
      <c r="G1315" s="1"/>
      <c r="H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</row>
    <row r="1316" spans="1:19" x14ac:dyDescent="0.2">
      <c r="A1316" s="1"/>
      <c r="C1316" s="1"/>
      <c r="G1316" s="1"/>
      <c r="H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</row>
    <row r="1317" spans="1:19" x14ac:dyDescent="0.2">
      <c r="A1317" s="1"/>
      <c r="C1317" s="1"/>
      <c r="G1317" s="1"/>
      <c r="H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</row>
    <row r="1318" spans="1:19" x14ac:dyDescent="0.2">
      <c r="A1318" s="1"/>
      <c r="C1318" s="1"/>
      <c r="G1318" s="1"/>
      <c r="H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</row>
    <row r="1319" spans="1:19" x14ac:dyDescent="0.2">
      <c r="A1319" s="1"/>
      <c r="C1319" s="1"/>
      <c r="G1319" s="1"/>
      <c r="H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</row>
    <row r="1320" spans="1:19" x14ac:dyDescent="0.2">
      <c r="A1320" s="1"/>
      <c r="C1320" s="1"/>
      <c r="G1320" s="1"/>
      <c r="H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</row>
    <row r="1321" spans="1:19" x14ac:dyDescent="0.2">
      <c r="A1321" s="1"/>
      <c r="C1321" s="1"/>
      <c r="G1321" s="1"/>
      <c r="H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</row>
    <row r="1322" spans="1:19" x14ac:dyDescent="0.2">
      <c r="A1322" s="1"/>
      <c r="C1322" s="1"/>
      <c r="G1322" s="1"/>
      <c r="H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</row>
    <row r="1323" spans="1:19" x14ac:dyDescent="0.2">
      <c r="A1323" s="1"/>
      <c r="C1323" s="1"/>
      <c r="G1323" s="1"/>
      <c r="H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</row>
    <row r="1324" spans="1:19" x14ac:dyDescent="0.2">
      <c r="A1324" s="1"/>
      <c r="C1324" s="1"/>
      <c r="G1324" s="1"/>
      <c r="H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</row>
    <row r="1325" spans="1:19" x14ac:dyDescent="0.2">
      <c r="A1325" s="1"/>
      <c r="C1325" s="1"/>
      <c r="G1325" s="1"/>
      <c r="H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</row>
    <row r="1326" spans="1:19" x14ac:dyDescent="0.2">
      <c r="A1326" s="1"/>
      <c r="C1326" s="1"/>
      <c r="G1326" s="1"/>
      <c r="H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</row>
    <row r="1327" spans="1:19" x14ac:dyDescent="0.2">
      <c r="A1327" s="1"/>
      <c r="C1327" s="1"/>
      <c r="G1327" s="1"/>
      <c r="H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</row>
    <row r="1328" spans="1:19" x14ac:dyDescent="0.2">
      <c r="A1328" s="1"/>
      <c r="C1328" s="1"/>
      <c r="G1328" s="1"/>
      <c r="H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</row>
    <row r="1329" spans="1:19" x14ac:dyDescent="0.2">
      <c r="A1329" s="1"/>
      <c r="C1329" s="1"/>
      <c r="G1329" s="1"/>
      <c r="H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</row>
    <row r="1330" spans="1:19" x14ac:dyDescent="0.2">
      <c r="A1330" s="1"/>
      <c r="C1330" s="1"/>
      <c r="G1330" s="1"/>
      <c r="H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</row>
    <row r="1331" spans="1:19" x14ac:dyDescent="0.2">
      <c r="A1331" s="1"/>
      <c r="C1331" s="1"/>
      <c r="G1331" s="1"/>
      <c r="H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</row>
    <row r="1332" spans="1:19" x14ac:dyDescent="0.2">
      <c r="A1332" s="1"/>
      <c r="C1332" s="1"/>
      <c r="G1332" s="1"/>
      <c r="H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</row>
    <row r="1333" spans="1:19" x14ac:dyDescent="0.2">
      <c r="A1333" s="1"/>
      <c r="C1333" s="1"/>
      <c r="G1333" s="1"/>
      <c r="H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</row>
    <row r="1334" spans="1:19" x14ac:dyDescent="0.2">
      <c r="A1334" s="1"/>
      <c r="C1334" s="1"/>
      <c r="G1334" s="1"/>
      <c r="H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</row>
    <row r="1335" spans="1:19" x14ac:dyDescent="0.2">
      <c r="A1335" s="1"/>
      <c r="C1335" s="1"/>
      <c r="G1335" s="1"/>
      <c r="H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</row>
    <row r="1336" spans="1:19" x14ac:dyDescent="0.2">
      <c r="A1336" s="1"/>
      <c r="C1336" s="1"/>
      <c r="G1336" s="1"/>
      <c r="H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</row>
    <row r="1337" spans="1:19" x14ac:dyDescent="0.2">
      <c r="A1337" s="1"/>
      <c r="C1337" s="1"/>
      <c r="G1337" s="1"/>
      <c r="H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</row>
    <row r="1338" spans="1:19" x14ac:dyDescent="0.2">
      <c r="A1338" s="1"/>
      <c r="C1338" s="1"/>
      <c r="G1338" s="1"/>
      <c r="H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</row>
    <row r="1339" spans="1:19" x14ac:dyDescent="0.2">
      <c r="A1339" s="1"/>
      <c r="C1339" s="1"/>
      <c r="G1339" s="1"/>
      <c r="H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</row>
    <row r="1340" spans="1:19" x14ac:dyDescent="0.2">
      <c r="A1340" s="1"/>
      <c r="C1340" s="1"/>
      <c r="G1340" s="1"/>
      <c r="H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</row>
    <row r="1341" spans="1:19" x14ac:dyDescent="0.2">
      <c r="A1341" s="1"/>
      <c r="C1341" s="1"/>
      <c r="G1341" s="1"/>
      <c r="H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</row>
    <row r="1342" spans="1:19" x14ac:dyDescent="0.2">
      <c r="A1342" s="1"/>
      <c r="C1342" s="1"/>
      <c r="G1342" s="1"/>
      <c r="H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</row>
    <row r="1343" spans="1:19" x14ac:dyDescent="0.2">
      <c r="A1343" s="1"/>
      <c r="C1343" s="1"/>
      <c r="G1343" s="1"/>
      <c r="H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</row>
    <row r="1344" spans="1:19" x14ac:dyDescent="0.2">
      <c r="A1344" s="1"/>
      <c r="C1344" s="1"/>
      <c r="G1344" s="1"/>
      <c r="H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</row>
    <row r="1345" spans="1:19" x14ac:dyDescent="0.2">
      <c r="A1345" s="1"/>
      <c r="C1345" s="1"/>
      <c r="G1345" s="1"/>
      <c r="H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</row>
    <row r="1346" spans="1:19" x14ac:dyDescent="0.2">
      <c r="A1346" s="1"/>
      <c r="C1346" s="1"/>
      <c r="G1346" s="1"/>
      <c r="H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</row>
    <row r="1347" spans="1:19" x14ac:dyDescent="0.2">
      <c r="A1347" s="1"/>
      <c r="C1347" s="1"/>
      <c r="G1347" s="1"/>
      <c r="H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</row>
    <row r="1348" spans="1:19" x14ac:dyDescent="0.2">
      <c r="A1348" s="1"/>
      <c r="C1348" s="1"/>
      <c r="G1348" s="1"/>
      <c r="H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</row>
    <row r="1349" spans="1:19" x14ac:dyDescent="0.2">
      <c r="A1349" s="1"/>
      <c r="C1349" s="1"/>
      <c r="G1349" s="1"/>
      <c r="H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</row>
    <row r="1350" spans="1:19" x14ac:dyDescent="0.2">
      <c r="A1350" s="1"/>
      <c r="C1350" s="1"/>
      <c r="G1350" s="1"/>
      <c r="H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</row>
    <row r="1351" spans="1:19" x14ac:dyDescent="0.2">
      <c r="A1351" s="1"/>
      <c r="C1351" s="1"/>
      <c r="G1351" s="1"/>
      <c r="H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</row>
    <row r="1352" spans="1:19" x14ac:dyDescent="0.2">
      <c r="A1352" s="1"/>
      <c r="C1352" s="1"/>
      <c r="G1352" s="1"/>
      <c r="H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</row>
    <row r="1353" spans="1:19" x14ac:dyDescent="0.2">
      <c r="A1353" s="1"/>
      <c r="C1353" s="1"/>
      <c r="G1353" s="1"/>
      <c r="H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</row>
    <row r="1354" spans="1:19" x14ac:dyDescent="0.2">
      <c r="A1354" s="1"/>
      <c r="C1354" s="1"/>
      <c r="G1354" s="1"/>
      <c r="H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</row>
    <row r="1355" spans="1:19" x14ac:dyDescent="0.2">
      <c r="A1355" s="1"/>
      <c r="C1355" s="1"/>
      <c r="G1355" s="1"/>
      <c r="H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</row>
    <row r="1356" spans="1:19" x14ac:dyDescent="0.2">
      <c r="A1356" s="1"/>
      <c r="C1356" s="1"/>
      <c r="G1356" s="1"/>
      <c r="H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</row>
    <row r="1357" spans="1:19" x14ac:dyDescent="0.2">
      <c r="A1357" s="1"/>
      <c r="C1357" s="1"/>
      <c r="G1357" s="1"/>
      <c r="H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</row>
    <row r="1358" spans="1:19" x14ac:dyDescent="0.2">
      <c r="A1358" s="1"/>
      <c r="C1358" s="1"/>
      <c r="G1358" s="1"/>
      <c r="H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</row>
    <row r="1359" spans="1:19" x14ac:dyDescent="0.2">
      <c r="A1359" s="1"/>
      <c r="C1359" s="1"/>
      <c r="G1359" s="1"/>
      <c r="H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</row>
    <row r="1360" spans="1:19" x14ac:dyDescent="0.2">
      <c r="A1360" s="1"/>
      <c r="C1360" s="1"/>
      <c r="G1360" s="1"/>
      <c r="H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</row>
    <row r="1361" spans="1:19" x14ac:dyDescent="0.2">
      <c r="A1361" s="1"/>
      <c r="C1361" s="1"/>
      <c r="G1361" s="1"/>
      <c r="H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</row>
    <row r="1362" spans="1:19" x14ac:dyDescent="0.2">
      <c r="A1362" s="1"/>
      <c r="C1362" s="1"/>
      <c r="G1362" s="1"/>
      <c r="H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</row>
    <row r="1363" spans="1:19" x14ac:dyDescent="0.2">
      <c r="A1363" s="1"/>
      <c r="C1363" s="1"/>
      <c r="G1363" s="1"/>
      <c r="H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</row>
    <row r="1364" spans="1:19" x14ac:dyDescent="0.2">
      <c r="A1364" s="1"/>
      <c r="C1364" s="1"/>
      <c r="G1364" s="1"/>
      <c r="H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</row>
    <row r="1365" spans="1:19" x14ac:dyDescent="0.2">
      <c r="A1365" s="1"/>
      <c r="C1365" s="1"/>
      <c r="G1365" s="1"/>
      <c r="H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</row>
    <row r="1366" spans="1:19" x14ac:dyDescent="0.2">
      <c r="A1366" s="1"/>
      <c r="C1366" s="1"/>
      <c r="G1366" s="1"/>
      <c r="H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</row>
    <row r="1367" spans="1:19" x14ac:dyDescent="0.2">
      <c r="A1367" s="1"/>
      <c r="C1367" s="1"/>
      <c r="G1367" s="1"/>
      <c r="H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</row>
    <row r="1368" spans="1:19" x14ac:dyDescent="0.2">
      <c r="A1368" s="1"/>
      <c r="C1368" s="1"/>
      <c r="G1368" s="1"/>
      <c r="H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</row>
    <row r="1369" spans="1:19" x14ac:dyDescent="0.2">
      <c r="A1369" s="1"/>
      <c r="C1369" s="1"/>
      <c r="G1369" s="1"/>
      <c r="H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</row>
    <row r="1370" spans="1:19" x14ac:dyDescent="0.2">
      <c r="A1370" s="1"/>
      <c r="C1370" s="1"/>
      <c r="G1370" s="1"/>
      <c r="H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</row>
    <row r="1371" spans="1:19" x14ac:dyDescent="0.2">
      <c r="A1371" s="1"/>
      <c r="C1371" s="1"/>
      <c r="G1371" s="1"/>
      <c r="H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</row>
    <row r="1372" spans="1:19" x14ac:dyDescent="0.2">
      <c r="A1372" s="1"/>
      <c r="C1372" s="1"/>
      <c r="G1372" s="1"/>
      <c r="H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</row>
    <row r="1373" spans="1:19" x14ac:dyDescent="0.2">
      <c r="A1373" s="1"/>
      <c r="C1373" s="1"/>
      <c r="G1373" s="1"/>
      <c r="H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</row>
    <row r="1374" spans="1:19" x14ac:dyDescent="0.2">
      <c r="A1374" s="1"/>
      <c r="C1374" s="1"/>
      <c r="G1374" s="1"/>
      <c r="H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</row>
    <row r="1375" spans="1:19" x14ac:dyDescent="0.2">
      <c r="A1375" s="1"/>
      <c r="C1375" s="1"/>
      <c r="G1375" s="1"/>
      <c r="H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</row>
    <row r="1376" spans="1:19" x14ac:dyDescent="0.2">
      <c r="A1376" s="1"/>
      <c r="C1376" s="1"/>
      <c r="G1376" s="1"/>
      <c r="H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</row>
    <row r="1377" spans="1:19" x14ac:dyDescent="0.2">
      <c r="A1377" s="1"/>
      <c r="C1377" s="1"/>
      <c r="G1377" s="1"/>
      <c r="H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</row>
    <row r="1378" spans="1:19" x14ac:dyDescent="0.2">
      <c r="A1378" s="1"/>
      <c r="C1378" s="1"/>
      <c r="G1378" s="1"/>
      <c r="H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</row>
    <row r="1379" spans="1:19" x14ac:dyDescent="0.2">
      <c r="A1379" s="1"/>
      <c r="C1379" s="1"/>
      <c r="G1379" s="1"/>
      <c r="H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</row>
    <row r="1380" spans="1:19" x14ac:dyDescent="0.2">
      <c r="A1380" s="1"/>
      <c r="C1380" s="1"/>
      <c r="G1380" s="1"/>
      <c r="H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</row>
    <row r="1381" spans="1:19" x14ac:dyDescent="0.2">
      <c r="A1381" s="1"/>
      <c r="C1381" s="1"/>
      <c r="G1381" s="1"/>
      <c r="H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</row>
    <row r="1382" spans="1:19" x14ac:dyDescent="0.2">
      <c r="A1382" s="1"/>
      <c r="C1382" s="1"/>
      <c r="G1382" s="1"/>
      <c r="H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</row>
    <row r="1383" spans="1:19" x14ac:dyDescent="0.2">
      <c r="A1383" s="1"/>
      <c r="C1383" s="1"/>
      <c r="G1383" s="1"/>
      <c r="H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</row>
    <row r="1384" spans="1:19" x14ac:dyDescent="0.2">
      <c r="A1384" s="1"/>
      <c r="C1384" s="1"/>
      <c r="G1384" s="1"/>
      <c r="H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</row>
    <row r="1385" spans="1:19" x14ac:dyDescent="0.2">
      <c r="A1385" s="1"/>
      <c r="C1385" s="1"/>
      <c r="G1385" s="1"/>
      <c r="H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</row>
    <row r="1386" spans="1:19" x14ac:dyDescent="0.2">
      <c r="A1386" s="1"/>
      <c r="C1386" s="1"/>
      <c r="G1386" s="1"/>
      <c r="H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</row>
    <row r="1387" spans="1:19" x14ac:dyDescent="0.2">
      <c r="A1387" s="1"/>
      <c r="C1387" s="1"/>
      <c r="G1387" s="1"/>
      <c r="H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</row>
    <row r="1388" spans="1:19" x14ac:dyDescent="0.2">
      <c r="A1388" s="1"/>
      <c r="C1388" s="1"/>
      <c r="G1388" s="1"/>
      <c r="H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</row>
    <row r="1389" spans="1:19" x14ac:dyDescent="0.2">
      <c r="A1389" s="1"/>
      <c r="C1389" s="1"/>
      <c r="G1389" s="1"/>
      <c r="H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</row>
    <row r="1390" spans="1:19" x14ac:dyDescent="0.2">
      <c r="A1390" s="1"/>
      <c r="C1390" s="1"/>
      <c r="G1390" s="1"/>
      <c r="H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</row>
    <row r="1391" spans="1:19" x14ac:dyDescent="0.2">
      <c r="A1391" s="1"/>
      <c r="C1391" s="1"/>
      <c r="G1391" s="1"/>
      <c r="H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</row>
    <row r="1392" spans="1:19" x14ac:dyDescent="0.2">
      <c r="A1392" s="1"/>
      <c r="C1392" s="1"/>
      <c r="G1392" s="1"/>
      <c r="H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</row>
    <row r="1393" spans="1:19" x14ac:dyDescent="0.2">
      <c r="A1393" s="1"/>
      <c r="C1393" s="1"/>
      <c r="G1393" s="1"/>
      <c r="H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</row>
    <row r="1394" spans="1:19" x14ac:dyDescent="0.2">
      <c r="A1394" s="1"/>
      <c r="C1394" s="1"/>
      <c r="G1394" s="1"/>
      <c r="H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</row>
    <row r="1395" spans="1:19" x14ac:dyDescent="0.2">
      <c r="A1395" s="1"/>
      <c r="C1395" s="1"/>
      <c r="G1395" s="1"/>
      <c r="H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</row>
    <row r="1396" spans="1:19" x14ac:dyDescent="0.2">
      <c r="A1396" s="1"/>
      <c r="C1396" s="1"/>
      <c r="G1396" s="1"/>
      <c r="H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</row>
    <row r="1397" spans="1:19" x14ac:dyDescent="0.2">
      <c r="A1397" s="1"/>
      <c r="C1397" s="1"/>
      <c r="G1397" s="1"/>
      <c r="H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</row>
    <row r="1398" spans="1:19" x14ac:dyDescent="0.2">
      <c r="A1398" s="1"/>
      <c r="C1398" s="1"/>
      <c r="G1398" s="1"/>
      <c r="H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</row>
    <row r="1399" spans="1:19" x14ac:dyDescent="0.2">
      <c r="A1399" s="1"/>
      <c r="C1399" s="1"/>
      <c r="G1399" s="1"/>
      <c r="H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</row>
    <row r="1400" spans="1:19" x14ac:dyDescent="0.2">
      <c r="A1400" s="1"/>
      <c r="C1400" s="1"/>
      <c r="G1400" s="1"/>
      <c r="H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</row>
    <row r="1401" spans="1:19" x14ac:dyDescent="0.2">
      <c r="A1401" s="1"/>
      <c r="C1401" s="1"/>
      <c r="G1401" s="1"/>
      <c r="H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</row>
    <row r="1402" spans="1:19" x14ac:dyDescent="0.2">
      <c r="A1402" s="1"/>
      <c r="C1402" s="1"/>
      <c r="G1402" s="1"/>
      <c r="H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</row>
    <row r="1403" spans="1:19" x14ac:dyDescent="0.2">
      <c r="A1403" s="1"/>
      <c r="C1403" s="1"/>
      <c r="G1403" s="1"/>
      <c r="H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</row>
    <row r="1404" spans="1:19" x14ac:dyDescent="0.2">
      <c r="A1404" s="1"/>
      <c r="C1404" s="1"/>
      <c r="G1404" s="1"/>
      <c r="H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</row>
    <row r="1405" spans="1:19" x14ac:dyDescent="0.2">
      <c r="A1405" s="1"/>
      <c r="C1405" s="1"/>
      <c r="G1405" s="1"/>
      <c r="H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</row>
    <row r="1406" spans="1:19" x14ac:dyDescent="0.2">
      <c r="A1406" s="1"/>
      <c r="C1406" s="1"/>
      <c r="G1406" s="1"/>
      <c r="H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</row>
    <row r="1407" spans="1:19" x14ac:dyDescent="0.2">
      <c r="A1407" s="1"/>
      <c r="C1407" s="1"/>
      <c r="G1407" s="1"/>
      <c r="H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</row>
    <row r="1408" spans="1:19" x14ac:dyDescent="0.2">
      <c r="A1408" s="1"/>
      <c r="C1408" s="1"/>
      <c r="G1408" s="1"/>
      <c r="H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</row>
    <row r="1409" spans="1:19" x14ac:dyDescent="0.2">
      <c r="A1409" s="1"/>
      <c r="C1409" s="1"/>
      <c r="G1409" s="1"/>
      <c r="H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</row>
    <row r="1410" spans="1:19" x14ac:dyDescent="0.2">
      <c r="A1410" s="1"/>
      <c r="C1410" s="1"/>
      <c r="G1410" s="1"/>
      <c r="H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</row>
    <row r="1411" spans="1:19" x14ac:dyDescent="0.2">
      <c r="A1411" s="1"/>
      <c r="C1411" s="1"/>
      <c r="G1411" s="1"/>
      <c r="H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</row>
    <row r="1412" spans="1:19" x14ac:dyDescent="0.2">
      <c r="A1412" s="1"/>
      <c r="C1412" s="1"/>
      <c r="G1412" s="1"/>
      <c r="H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</row>
    <row r="1413" spans="1:19" x14ac:dyDescent="0.2">
      <c r="A1413" s="1"/>
      <c r="C1413" s="1"/>
      <c r="G1413" s="1"/>
      <c r="H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</row>
    <row r="1414" spans="1:19" x14ac:dyDescent="0.2">
      <c r="A1414" s="1"/>
      <c r="C1414" s="1"/>
      <c r="G1414" s="1"/>
      <c r="H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</row>
    <row r="1415" spans="1:19" x14ac:dyDescent="0.2">
      <c r="A1415" s="1"/>
      <c r="C1415" s="1"/>
      <c r="G1415" s="1"/>
      <c r="H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</row>
    <row r="1416" spans="1:19" x14ac:dyDescent="0.2">
      <c r="A1416" s="1"/>
      <c r="C1416" s="1"/>
      <c r="G1416" s="1"/>
      <c r="H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</row>
    <row r="1417" spans="1:19" x14ac:dyDescent="0.2">
      <c r="A1417" s="1"/>
      <c r="C1417" s="1"/>
      <c r="G1417" s="1"/>
      <c r="H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</row>
    <row r="1418" spans="1:19" x14ac:dyDescent="0.2">
      <c r="A1418" s="1"/>
      <c r="C1418" s="1"/>
      <c r="G1418" s="1"/>
      <c r="H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</row>
    <row r="1419" spans="1:19" x14ac:dyDescent="0.2">
      <c r="A1419" s="1"/>
      <c r="C1419" s="1"/>
      <c r="G1419" s="1"/>
      <c r="H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</row>
    <row r="1420" spans="1:19" x14ac:dyDescent="0.2">
      <c r="A1420" s="1"/>
      <c r="C1420" s="1"/>
      <c r="G1420" s="1"/>
      <c r="H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</row>
    <row r="1421" spans="1:19" x14ac:dyDescent="0.2">
      <c r="A1421" s="1"/>
      <c r="C1421" s="1"/>
      <c r="G1421" s="1"/>
      <c r="H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</row>
    <row r="1422" spans="1:19" x14ac:dyDescent="0.2">
      <c r="A1422" s="1"/>
      <c r="C1422" s="1"/>
      <c r="G1422" s="1"/>
      <c r="H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</row>
    <row r="1423" spans="1:19" x14ac:dyDescent="0.2">
      <c r="A1423" s="1"/>
      <c r="C1423" s="1"/>
      <c r="G1423" s="1"/>
      <c r="H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</row>
    <row r="1424" spans="1:19" x14ac:dyDescent="0.2">
      <c r="A1424" s="1"/>
      <c r="C1424" s="1"/>
      <c r="G1424" s="1"/>
      <c r="H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</row>
    <row r="1425" spans="1:19" x14ac:dyDescent="0.2">
      <c r="A1425" s="1"/>
      <c r="C1425" s="1"/>
      <c r="G1425" s="1"/>
      <c r="H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</row>
    <row r="1426" spans="1:19" x14ac:dyDescent="0.2">
      <c r="A1426" s="1"/>
      <c r="C1426" s="1"/>
      <c r="G1426" s="1"/>
      <c r="H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</row>
    <row r="1427" spans="1:19" x14ac:dyDescent="0.2">
      <c r="A1427" s="1"/>
      <c r="C1427" s="1"/>
      <c r="G1427" s="1"/>
      <c r="H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</row>
    <row r="1428" spans="1:19" x14ac:dyDescent="0.2">
      <c r="A1428" s="1"/>
      <c r="C1428" s="1"/>
      <c r="G1428" s="1"/>
      <c r="H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</row>
    <row r="1429" spans="1:19" x14ac:dyDescent="0.2">
      <c r="A1429" s="1"/>
      <c r="C1429" s="1"/>
      <c r="G1429" s="1"/>
      <c r="H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</row>
    <row r="1430" spans="1:19" x14ac:dyDescent="0.2">
      <c r="A1430" s="1"/>
      <c r="C1430" s="1"/>
      <c r="G1430" s="1"/>
      <c r="H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</row>
    <row r="1431" spans="1:19" x14ac:dyDescent="0.2">
      <c r="A1431" s="1"/>
      <c r="C1431" s="1"/>
      <c r="G1431" s="1"/>
      <c r="H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</row>
    <row r="1432" spans="1:19" x14ac:dyDescent="0.2">
      <c r="A1432" s="1"/>
      <c r="C1432" s="1"/>
      <c r="G1432" s="1"/>
      <c r="H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</row>
    <row r="1433" spans="1:19" x14ac:dyDescent="0.2">
      <c r="A1433" s="1"/>
      <c r="C1433" s="1"/>
      <c r="G1433" s="1"/>
      <c r="H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</row>
    <row r="1434" spans="1:19" x14ac:dyDescent="0.2">
      <c r="A1434" s="1"/>
      <c r="C1434" s="1"/>
      <c r="G1434" s="1"/>
      <c r="H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</row>
    <row r="1435" spans="1:19" x14ac:dyDescent="0.2">
      <c r="A1435" s="1"/>
      <c r="C1435" s="1"/>
      <c r="G1435" s="1"/>
      <c r="H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</row>
    <row r="1436" spans="1:19" x14ac:dyDescent="0.2">
      <c r="A1436" s="1"/>
      <c r="C1436" s="1"/>
      <c r="G1436" s="1"/>
      <c r="H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</row>
    <row r="1437" spans="1:19" x14ac:dyDescent="0.2">
      <c r="A1437" s="1"/>
      <c r="C1437" s="1"/>
      <c r="G1437" s="1"/>
      <c r="H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</row>
    <row r="1438" spans="1:19" x14ac:dyDescent="0.2">
      <c r="A1438" s="1"/>
      <c r="C1438" s="1"/>
      <c r="G1438" s="1"/>
      <c r="H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</row>
    <row r="1439" spans="1:19" x14ac:dyDescent="0.2">
      <c r="A1439" s="1"/>
      <c r="C1439" s="1"/>
      <c r="G1439" s="1"/>
      <c r="H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</row>
    <row r="1440" spans="1:19" x14ac:dyDescent="0.2">
      <c r="A1440" s="1"/>
      <c r="C1440" s="1"/>
      <c r="G1440" s="1"/>
      <c r="H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</row>
    <row r="1441" spans="1:19" x14ac:dyDescent="0.2">
      <c r="A1441" s="1"/>
      <c r="C1441" s="1"/>
      <c r="G1441" s="1"/>
      <c r="H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</row>
    <row r="1442" spans="1:19" x14ac:dyDescent="0.2">
      <c r="A1442" s="1"/>
      <c r="C1442" s="1"/>
      <c r="G1442" s="1"/>
      <c r="H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</row>
    <row r="1443" spans="1:19" x14ac:dyDescent="0.2">
      <c r="A1443" s="1"/>
      <c r="C1443" s="1"/>
      <c r="G1443" s="1"/>
      <c r="H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</row>
    <row r="1444" spans="1:19" x14ac:dyDescent="0.2">
      <c r="A1444" s="1"/>
      <c r="C1444" s="1"/>
      <c r="G1444" s="1"/>
      <c r="H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</row>
    <row r="1445" spans="1:19" x14ac:dyDescent="0.2">
      <c r="A1445" s="1"/>
      <c r="C1445" s="1"/>
      <c r="G1445" s="1"/>
      <c r="H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</row>
    <row r="1446" spans="1:19" x14ac:dyDescent="0.2">
      <c r="A1446" s="1"/>
      <c r="C1446" s="1"/>
      <c r="G1446" s="1"/>
      <c r="H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</row>
    <row r="1447" spans="1:19" x14ac:dyDescent="0.2">
      <c r="A1447" s="1"/>
      <c r="C1447" s="1"/>
      <c r="G1447" s="1"/>
      <c r="H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</row>
    <row r="1448" spans="1:19" x14ac:dyDescent="0.2">
      <c r="A1448" s="1"/>
      <c r="C1448" s="1"/>
      <c r="G1448" s="1"/>
      <c r="H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</row>
    <row r="1449" spans="1:19" x14ac:dyDescent="0.2">
      <c r="A1449" s="1"/>
      <c r="C1449" s="1"/>
      <c r="G1449" s="1"/>
      <c r="H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</row>
    <row r="1450" spans="1:19" x14ac:dyDescent="0.2">
      <c r="A1450" s="1"/>
      <c r="C1450" s="1"/>
      <c r="G1450" s="1"/>
      <c r="H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</row>
    <row r="1451" spans="1:19" x14ac:dyDescent="0.2">
      <c r="A1451" s="1"/>
      <c r="C1451" s="1"/>
      <c r="G1451" s="1"/>
      <c r="H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</row>
    <row r="1452" spans="1:19" x14ac:dyDescent="0.2">
      <c r="A1452" s="1"/>
      <c r="C1452" s="1"/>
      <c r="G1452" s="1"/>
      <c r="H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</row>
    <row r="1453" spans="1:19" x14ac:dyDescent="0.2">
      <c r="A1453" s="1"/>
      <c r="C1453" s="1"/>
      <c r="G1453" s="1"/>
      <c r="H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</row>
    <row r="1454" spans="1:19" x14ac:dyDescent="0.2">
      <c r="A1454" s="1"/>
      <c r="C1454" s="1"/>
      <c r="G1454" s="1"/>
      <c r="H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</row>
    <row r="1455" spans="1:19" x14ac:dyDescent="0.2">
      <c r="A1455" s="1"/>
      <c r="C1455" s="1"/>
      <c r="G1455" s="1"/>
      <c r="H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</row>
    <row r="1456" spans="1:19" x14ac:dyDescent="0.2">
      <c r="A1456" s="1"/>
      <c r="C1456" s="1"/>
      <c r="G1456" s="1"/>
      <c r="H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</row>
    <row r="1457" spans="1:19" x14ac:dyDescent="0.2">
      <c r="A1457" s="1"/>
      <c r="C1457" s="1"/>
      <c r="G1457" s="1"/>
      <c r="H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</row>
    <row r="1458" spans="1:19" x14ac:dyDescent="0.2">
      <c r="A1458" s="1"/>
      <c r="C1458" s="1"/>
      <c r="G1458" s="1"/>
      <c r="H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</row>
    <row r="1459" spans="1:19" x14ac:dyDescent="0.2">
      <c r="A1459" s="1"/>
      <c r="C1459" s="1"/>
      <c r="G1459" s="1"/>
      <c r="H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</row>
    <row r="1460" spans="1:19" x14ac:dyDescent="0.2">
      <c r="A1460" s="1"/>
      <c r="C1460" s="1"/>
      <c r="G1460" s="1"/>
      <c r="H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</row>
    <row r="1461" spans="1:19" x14ac:dyDescent="0.2">
      <c r="A1461" s="1"/>
      <c r="C1461" s="1"/>
      <c r="G1461" s="1"/>
      <c r="H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</row>
    <row r="1462" spans="1:19" x14ac:dyDescent="0.2">
      <c r="A1462" s="1"/>
      <c r="C1462" s="1"/>
      <c r="G1462" s="1"/>
      <c r="H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</row>
    <row r="1463" spans="1:19" x14ac:dyDescent="0.2">
      <c r="A1463" s="1"/>
      <c r="C1463" s="1"/>
      <c r="G1463" s="1"/>
      <c r="H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</row>
    <row r="1464" spans="1:19" x14ac:dyDescent="0.2">
      <c r="A1464" s="1"/>
      <c r="C1464" s="1"/>
      <c r="G1464" s="1"/>
      <c r="H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</row>
    <row r="1465" spans="1:19" x14ac:dyDescent="0.2">
      <c r="A1465" s="1"/>
      <c r="C1465" s="1"/>
      <c r="G1465" s="1"/>
      <c r="H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</row>
    <row r="1466" spans="1:19" x14ac:dyDescent="0.2">
      <c r="A1466" s="1"/>
      <c r="C1466" s="1"/>
      <c r="G1466" s="1"/>
      <c r="H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</row>
    <row r="1467" spans="1:19" x14ac:dyDescent="0.2">
      <c r="A1467" s="1"/>
      <c r="C1467" s="1"/>
      <c r="G1467" s="1"/>
      <c r="H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</row>
    <row r="1468" spans="1:19" x14ac:dyDescent="0.2">
      <c r="A1468" s="1"/>
      <c r="C1468" s="1"/>
      <c r="G1468" s="1"/>
      <c r="H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</row>
    <row r="1469" spans="1:19" x14ac:dyDescent="0.2">
      <c r="A1469" s="1"/>
      <c r="C1469" s="1"/>
      <c r="G1469" s="1"/>
      <c r="H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</row>
    <row r="1470" spans="1:19" x14ac:dyDescent="0.2">
      <c r="A1470" s="1"/>
      <c r="C1470" s="1"/>
      <c r="G1470" s="1"/>
      <c r="H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</row>
    <row r="1471" spans="1:19" x14ac:dyDescent="0.2">
      <c r="A1471" s="1"/>
      <c r="C1471" s="1"/>
      <c r="G1471" s="1"/>
      <c r="H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</row>
    <row r="1472" spans="1:19" x14ac:dyDescent="0.2">
      <c r="A1472" s="1"/>
      <c r="C1472" s="1"/>
      <c r="G1472" s="1"/>
      <c r="H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</row>
    <row r="1473" spans="1:19" x14ac:dyDescent="0.2">
      <c r="A1473" s="1"/>
      <c r="C1473" s="1"/>
      <c r="G1473" s="1"/>
      <c r="H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</row>
    <row r="1474" spans="1:19" x14ac:dyDescent="0.2">
      <c r="A1474" s="1"/>
      <c r="C1474" s="1"/>
      <c r="G1474" s="1"/>
      <c r="H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</row>
    <row r="1475" spans="1:19" x14ac:dyDescent="0.2">
      <c r="A1475" s="1"/>
      <c r="C1475" s="1"/>
      <c r="G1475" s="1"/>
      <c r="H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</row>
    <row r="1476" spans="1:19" x14ac:dyDescent="0.2">
      <c r="A1476" s="1"/>
      <c r="C1476" s="1"/>
      <c r="G1476" s="1"/>
      <c r="H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</row>
    <row r="1477" spans="1:19" x14ac:dyDescent="0.2">
      <c r="A1477" s="1"/>
      <c r="C1477" s="1"/>
      <c r="G1477" s="1"/>
      <c r="H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</row>
    <row r="1478" spans="1:19" x14ac:dyDescent="0.2">
      <c r="A1478" s="1"/>
      <c r="C1478" s="1"/>
      <c r="G1478" s="1"/>
      <c r="H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</row>
    <row r="1479" spans="1:19" x14ac:dyDescent="0.2">
      <c r="A1479" s="1"/>
      <c r="C1479" s="1"/>
      <c r="G1479" s="1"/>
      <c r="H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</row>
    <row r="1480" spans="1:19" x14ac:dyDescent="0.2">
      <c r="A1480" s="1"/>
      <c r="C1480" s="1"/>
      <c r="G1480" s="1"/>
      <c r="H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</row>
    <row r="1481" spans="1:19" x14ac:dyDescent="0.2">
      <c r="A1481" s="1"/>
      <c r="C1481" s="1"/>
      <c r="G1481" s="1"/>
      <c r="H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</row>
    <row r="1482" spans="1:19" x14ac:dyDescent="0.2">
      <c r="A1482" s="1"/>
      <c r="C1482" s="1"/>
      <c r="G1482" s="1"/>
      <c r="H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</row>
    <row r="1483" spans="1:19" x14ac:dyDescent="0.2">
      <c r="A1483" s="1"/>
      <c r="C1483" s="1"/>
      <c r="G1483" s="1"/>
      <c r="H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</row>
    <row r="1484" spans="1:19" x14ac:dyDescent="0.2">
      <c r="A1484" s="1"/>
      <c r="C1484" s="1"/>
      <c r="G1484" s="1"/>
      <c r="H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</row>
    <row r="1485" spans="1:19" x14ac:dyDescent="0.2">
      <c r="A1485" s="1"/>
      <c r="C1485" s="1"/>
      <c r="G1485" s="1"/>
      <c r="H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</row>
    <row r="1486" spans="1:19" x14ac:dyDescent="0.2">
      <c r="A1486" s="1"/>
      <c r="C1486" s="1"/>
      <c r="G1486" s="1"/>
      <c r="H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</row>
    <row r="1487" spans="1:19" x14ac:dyDescent="0.2">
      <c r="A1487" s="1"/>
      <c r="C1487" s="1"/>
      <c r="G1487" s="1"/>
      <c r="H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</row>
    <row r="1488" spans="1:19" x14ac:dyDescent="0.2">
      <c r="A1488" s="1"/>
      <c r="C1488" s="1"/>
      <c r="G1488" s="1"/>
      <c r="H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</row>
    <row r="1489" spans="1:19" x14ac:dyDescent="0.2">
      <c r="A1489" s="1"/>
      <c r="C1489" s="1"/>
      <c r="G1489" s="1"/>
      <c r="H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</row>
    <row r="1490" spans="1:19" x14ac:dyDescent="0.2">
      <c r="A1490" s="1"/>
      <c r="C1490" s="1"/>
      <c r="G1490" s="1"/>
      <c r="H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</row>
    <row r="1491" spans="1:19" x14ac:dyDescent="0.2">
      <c r="A1491" s="1"/>
      <c r="C1491" s="1"/>
      <c r="G1491" s="1"/>
      <c r="H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</row>
    <row r="1492" spans="1:19" x14ac:dyDescent="0.2">
      <c r="A1492" s="1"/>
      <c r="C1492" s="1"/>
      <c r="G1492" s="1"/>
      <c r="H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</row>
    <row r="1493" spans="1:19" x14ac:dyDescent="0.2">
      <c r="A1493" s="1"/>
      <c r="C1493" s="1"/>
      <c r="G1493" s="1"/>
      <c r="H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</row>
    <row r="1494" spans="1:19" x14ac:dyDescent="0.2">
      <c r="A1494" s="1"/>
      <c r="C1494" s="1"/>
      <c r="G1494" s="1"/>
      <c r="H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</row>
    <row r="1495" spans="1:19" x14ac:dyDescent="0.2">
      <c r="A1495" s="1"/>
      <c r="C1495" s="1"/>
      <c r="G1495" s="1"/>
      <c r="H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</row>
    <row r="1496" spans="1:19" x14ac:dyDescent="0.2">
      <c r="A1496" s="1"/>
      <c r="C1496" s="1"/>
      <c r="G1496" s="1"/>
      <c r="H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</row>
    <row r="1497" spans="1:19" x14ac:dyDescent="0.2">
      <c r="A1497" s="1"/>
      <c r="C1497" s="1"/>
      <c r="G1497" s="1"/>
      <c r="H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</row>
    <row r="1498" spans="1:19" x14ac:dyDescent="0.2">
      <c r="A1498" s="1"/>
      <c r="C1498" s="1"/>
      <c r="G1498" s="1"/>
      <c r="H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</row>
    <row r="1499" spans="1:19" x14ac:dyDescent="0.2">
      <c r="A1499" s="1"/>
      <c r="C1499" s="1"/>
      <c r="G1499" s="1"/>
      <c r="H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</row>
    <row r="1500" spans="1:19" x14ac:dyDescent="0.2">
      <c r="A1500" s="1"/>
      <c r="C1500" s="1"/>
      <c r="G1500" s="1"/>
      <c r="H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</row>
    <row r="1501" spans="1:19" x14ac:dyDescent="0.2">
      <c r="A1501" s="1"/>
      <c r="C1501" s="1"/>
      <c r="G1501" s="1"/>
      <c r="H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</row>
    <row r="1502" spans="1:19" x14ac:dyDescent="0.2">
      <c r="A1502" s="1"/>
      <c r="C1502" s="1"/>
      <c r="G1502" s="1"/>
      <c r="H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</row>
    <row r="1503" spans="1:19" x14ac:dyDescent="0.2">
      <c r="A1503" s="1"/>
      <c r="C1503" s="1"/>
      <c r="G1503" s="1"/>
      <c r="H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</row>
    <row r="1504" spans="1:19" x14ac:dyDescent="0.2">
      <c r="A1504" s="1"/>
      <c r="C1504" s="1"/>
      <c r="G1504" s="1"/>
      <c r="H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</row>
    <row r="1505" spans="1:19" x14ac:dyDescent="0.2">
      <c r="A1505" s="1"/>
      <c r="C1505" s="1"/>
      <c r="G1505" s="1"/>
      <c r="H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</row>
    <row r="1506" spans="1:19" x14ac:dyDescent="0.2">
      <c r="A1506" s="1"/>
      <c r="C1506" s="1"/>
      <c r="G1506" s="1"/>
      <c r="H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</row>
    <row r="1507" spans="1:19" x14ac:dyDescent="0.2">
      <c r="A1507" s="1"/>
      <c r="C1507" s="1"/>
      <c r="G1507" s="1"/>
      <c r="H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</row>
    <row r="1508" spans="1:19" x14ac:dyDescent="0.2">
      <c r="A1508" s="1"/>
      <c r="C1508" s="1"/>
      <c r="G1508" s="1"/>
      <c r="H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</row>
    <row r="1509" spans="1:19" x14ac:dyDescent="0.2">
      <c r="A1509" s="1"/>
      <c r="C1509" s="1"/>
      <c r="G1509" s="1"/>
      <c r="H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</row>
    <row r="1510" spans="1:19" x14ac:dyDescent="0.2">
      <c r="A1510" s="1"/>
      <c r="C1510" s="1"/>
      <c r="G1510" s="1"/>
      <c r="H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</row>
    <row r="1511" spans="1:19" x14ac:dyDescent="0.2">
      <c r="A1511" s="1"/>
      <c r="C1511" s="1"/>
      <c r="G1511" s="1"/>
      <c r="H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</row>
    <row r="1512" spans="1:19" x14ac:dyDescent="0.2">
      <c r="A1512" s="1"/>
      <c r="C1512" s="1"/>
      <c r="G1512" s="1"/>
      <c r="H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</row>
    <row r="1513" spans="1:19" x14ac:dyDescent="0.2">
      <c r="A1513" s="1"/>
      <c r="C1513" s="1"/>
      <c r="G1513" s="1"/>
      <c r="H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</row>
    <row r="1514" spans="1:19" x14ac:dyDescent="0.2">
      <c r="A1514" s="1"/>
      <c r="C1514" s="1"/>
      <c r="G1514" s="1"/>
      <c r="H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</row>
    <row r="1515" spans="1:19" x14ac:dyDescent="0.2">
      <c r="A1515" s="1"/>
      <c r="C1515" s="1"/>
      <c r="G1515" s="1"/>
      <c r="H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</row>
    <row r="1516" spans="1:19" x14ac:dyDescent="0.2">
      <c r="A1516" s="1"/>
      <c r="C1516" s="1"/>
      <c r="G1516" s="1"/>
      <c r="H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</row>
    <row r="1517" spans="1:19" x14ac:dyDescent="0.2">
      <c r="A1517" s="1"/>
      <c r="C1517" s="1"/>
      <c r="G1517" s="1"/>
      <c r="H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</row>
    <row r="1518" spans="1:19" x14ac:dyDescent="0.2">
      <c r="A1518" s="1"/>
      <c r="C1518" s="1"/>
      <c r="G1518" s="1"/>
      <c r="H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</row>
    <row r="1519" spans="1:19" x14ac:dyDescent="0.2">
      <c r="A1519" s="1"/>
      <c r="C1519" s="1"/>
      <c r="G1519" s="1"/>
      <c r="H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</row>
    <row r="1520" spans="1:19" x14ac:dyDescent="0.2">
      <c r="A1520" s="1"/>
      <c r="C1520" s="1"/>
      <c r="G1520" s="1"/>
      <c r="H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</row>
    <row r="1521" spans="1:19" x14ac:dyDescent="0.2">
      <c r="A1521" s="1"/>
      <c r="C1521" s="1"/>
      <c r="G1521" s="1"/>
      <c r="H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</row>
    <row r="1522" spans="1:19" x14ac:dyDescent="0.2">
      <c r="A1522" s="1"/>
      <c r="C1522" s="1"/>
      <c r="G1522" s="1"/>
      <c r="H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</row>
    <row r="1523" spans="1:19" x14ac:dyDescent="0.2">
      <c r="A1523" s="1"/>
      <c r="C1523" s="1"/>
      <c r="G1523" s="1"/>
      <c r="H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</row>
    <row r="1524" spans="1:19" x14ac:dyDescent="0.2">
      <c r="A1524" s="1"/>
      <c r="C1524" s="1"/>
      <c r="G1524" s="1"/>
      <c r="H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</row>
    <row r="1525" spans="1:19" x14ac:dyDescent="0.2">
      <c r="A1525" s="1"/>
      <c r="C1525" s="1"/>
      <c r="G1525" s="1"/>
      <c r="H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</row>
    <row r="1526" spans="1:19" x14ac:dyDescent="0.2">
      <c r="A1526" s="1"/>
      <c r="C1526" s="1"/>
      <c r="G1526" s="1"/>
      <c r="H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</row>
    <row r="1527" spans="1:19" x14ac:dyDescent="0.2">
      <c r="A1527" s="1"/>
      <c r="C1527" s="1"/>
      <c r="G1527" s="1"/>
      <c r="H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</row>
    <row r="1528" spans="1:19" x14ac:dyDescent="0.2">
      <c r="A1528" s="1"/>
      <c r="C1528" s="1"/>
      <c r="G1528" s="1"/>
      <c r="H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</row>
    <row r="1529" spans="1:19" x14ac:dyDescent="0.2">
      <c r="A1529" s="1"/>
      <c r="C1529" s="1"/>
      <c r="G1529" s="1"/>
      <c r="H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</row>
    <row r="1530" spans="1:19" x14ac:dyDescent="0.2">
      <c r="A1530" s="1"/>
      <c r="C1530" s="1"/>
      <c r="G1530" s="1"/>
      <c r="H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</row>
    <row r="1531" spans="1:19" x14ac:dyDescent="0.2">
      <c r="A1531" s="1"/>
      <c r="C1531" s="1"/>
      <c r="G1531" s="1"/>
      <c r="H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</row>
    <row r="1532" spans="1:19" x14ac:dyDescent="0.2">
      <c r="A1532" s="1"/>
      <c r="C1532" s="1"/>
      <c r="G1532" s="1"/>
      <c r="H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</row>
    <row r="1533" spans="1:19" x14ac:dyDescent="0.2">
      <c r="A1533" s="1"/>
      <c r="C1533" s="1"/>
      <c r="G1533" s="1"/>
      <c r="H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</row>
    <row r="1534" spans="1:19" x14ac:dyDescent="0.2">
      <c r="A1534" s="1"/>
      <c r="C1534" s="1"/>
      <c r="G1534" s="1"/>
      <c r="H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</row>
    <row r="1535" spans="1:19" x14ac:dyDescent="0.2">
      <c r="A1535" s="1"/>
      <c r="C1535" s="1"/>
      <c r="G1535" s="1"/>
      <c r="H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</row>
    <row r="1536" spans="1:19" x14ac:dyDescent="0.2">
      <c r="A1536" s="1"/>
      <c r="C1536" s="1"/>
      <c r="G1536" s="1"/>
      <c r="H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</row>
    <row r="1537" spans="1:19" x14ac:dyDescent="0.2">
      <c r="A1537" s="1"/>
      <c r="C1537" s="1"/>
      <c r="G1537" s="1"/>
      <c r="H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</row>
    <row r="1538" spans="1:19" x14ac:dyDescent="0.2">
      <c r="A1538" s="1"/>
      <c r="C1538" s="1"/>
      <c r="G1538" s="1"/>
      <c r="H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</row>
    <row r="1539" spans="1:19" x14ac:dyDescent="0.2">
      <c r="A1539" s="1"/>
      <c r="C1539" s="1"/>
      <c r="G1539" s="1"/>
      <c r="H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</row>
    <row r="1540" spans="1:19" x14ac:dyDescent="0.2">
      <c r="A1540" s="1"/>
      <c r="C1540" s="1"/>
      <c r="G1540" s="1"/>
      <c r="H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</row>
    <row r="1541" spans="1:19" x14ac:dyDescent="0.2">
      <c r="A1541" s="1"/>
      <c r="C1541" s="1"/>
      <c r="G1541" s="1"/>
      <c r="H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</row>
    <row r="1542" spans="1:19" x14ac:dyDescent="0.2">
      <c r="A1542" s="1"/>
      <c r="C1542" s="1"/>
      <c r="G1542" s="1"/>
      <c r="H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</row>
    <row r="1543" spans="1:19" x14ac:dyDescent="0.2">
      <c r="A1543" s="1"/>
      <c r="C1543" s="1"/>
      <c r="G1543" s="1"/>
      <c r="H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</row>
    <row r="1544" spans="1:19" x14ac:dyDescent="0.2">
      <c r="A1544" s="1"/>
      <c r="C1544" s="1"/>
      <c r="G1544" s="1"/>
      <c r="H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</row>
    <row r="1545" spans="1:19" x14ac:dyDescent="0.2">
      <c r="A1545" s="1"/>
      <c r="C1545" s="1"/>
      <c r="G1545" s="1"/>
      <c r="H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</row>
    <row r="1546" spans="1:19" x14ac:dyDescent="0.2">
      <c r="A1546" s="1"/>
      <c r="C1546" s="1"/>
      <c r="G1546" s="1"/>
      <c r="H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</row>
    <row r="1547" spans="1:19" x14ac:dyDescent="0.2">
      <c r="A1547" s="1"/>
      <c r="C1547" s="1"/>
      <c r="G1547" s="1"/>
      <c r="H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</row>
    <row r="1548" spans="1:19" x14ac:dyDescent="0.2">
      <c r="A1548" s="1"/>
      <c r="C1548" s="1"/>
      <c r="G1548" s="1"/>
      <c r="H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</row>
    <row r="1549" spans="1:19" x14ac:dyDescent="0.2">
      <c r="A1549" s="1"/>
      <c r="C1549" s="1"/>
      <c r="G1549" s="1"/>
      <c r="H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</row>
    <row r="1550" spans="1:19" x14ac:dyDescent="0.2">
      <c r="A1550" s="1"/>
      <c r="C1550" s="1"/>
      <c r="G1550" s="1"/>
      <c r="H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</row>
    <row r="1551" spans="1:19" x14ac:dyDescent="0.2">
      <c r="A1551" s="1"/>
      <c r="C1551" s="1"/>
      <c r="G1551" s="1"/>
      <c r="H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</row>
    <row r="1552" spans="1:19" x14ac:dyDescent="0.2">
      <c r="A1552" s="1"/>
      <c r="C1552" s="1"/>
      <c r="G1552" s="1"/>
      <c r="H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</row>
    <row r="1553" spans="1:19" x14ac:dyDescent="0.2">
      <c r="A1553" s="1"/>
      <c r="C1553" s="1"/>
      <c r="G1553" s="1"/>
      <c r="H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</row>
    <row r="1554" spans="1:19" x14ac:dyDescent="0.2">
      <c r="A1554" s="1"/>
      <c r="C1554" s="1"/>
      <c r="G1554" s="1"/>
      <c r="H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</row>
    <row r="1555" spans="1:19" x14ac:dyDescent="0.2">
      <c r="A1555" s="1"/>
      <c r="C1555" s="1"/>
      <c r="G1555" s="1"/>
      <c r="H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</row>
    <row r="1556" spans="1:19" x14ac:dyDescent="0.2">
      <c r="A1556" s="1"/>
      <c r="C1556" s="1"/>
      <c r="G1556" s="1"/>
      <c r="H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</row>
    <row r="1557" spans="1:19" x14ac:dyDescent="0.2">
      <c r="A1557" s="1"/>
      <c r="C1557" s="1"/>
      <c r="G1557" s="1"/>
      <c r="H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</row>
    <row r="1558" spans="1:19" x14ac:dyDescent="0.2">
      <c r="A1558" s="1"/>
      <c r="C1558" s="1"/>
      <c r="G1558" s="1"/>
      <c r="H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</row>
    <row r="1559" spans="1:19" x14ac:dyDescent="0.2">
      <c r="A1559" s="1"/>
      <c r="C1559" s="1"/>
      <c r="G1559" s="1"/>
      <c r="H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</row>
    <row r="1560" spans="1:19" x14ac:dyDescent="0.2">
      <c r="A1560" s="1"/>
      <c r="C1560" s="1"/>
      <c r="G1560" s="1"/>
      <c r="H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</row>
    <row r="1561" spans="1:19" x14ac:dyDescent="0.2">
      <c r="A1561" s="1"/>
      <c r="C1561" s="1"/>
      <c r="G1561" s="1"/>
      <c r="H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</row>
    <row r="1562" spans="1:19" x14ac:dyDescent="0.2">
      <c r="A1562" s="1"/>
      <c r="C1562" s="1"/>
      <c r="G1562" s="1"/>
      <c r="H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</row>
    <row r="1563" spans="1:19" x14ac:dyDescent="0.2">
      <c r="A1563" s="1"/>
      <c r="C1563" s="1"/>
      <c r="G1563" s="1"/>
      <c r="H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</row>
    <row r="1564" spans="1:19" x14ac:dyDescent="0.2">
      <c r="A1564" s="1"/>
      <c r="C1564" s="1"/>
      <c r="G1564" s="1"/>
      <c r="H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</row>
    <row r="1565" spans="1:19" x14ac:dyDescent="0.2">
      <c r="A1565" s="1"/>
      <c r="C1565" s="1"/>
      <c r="G1565" s="1"/>
      <c r="H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</row>
    <row r="1566" spans="1:19" x14ac:dyDescent="0.2">
      <c r="A1566" s="1"/>
      <c r="C1566" s="1"/>
      <c r="G1566" s="1"/>
      <c r="H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</row>
    <row r="1567" spans="1:19" x14ac:dyDescent="0.2">
      <c r="A1567" s="1"/>
      <c r="C1567" s="1"/>
      <c r="G1567" s="1"/>
      <c r="H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</row>
    <row r="1568" spans="1:19" x14ac:dyDescent="0.2">
      <c r="A1568" s="1"/>
      <c r="C1568" s="1"/>
      <c r="G1568" s="1"/>
      <c r="H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</row>
    <row r="1569" spans="1:19" x14ac:dyDescent="0.2">
      <c r="A1569" s="1"/>
      <c r="C1569" s="1"/>
      <c r="G1569" s="1"/>
      <c r="H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</row>
    <row r="1570" spans="1:19" x14ac:dyDescent="0.2">
      <c r="A1570" s="1"/>
      <c r="C1570" s="1"/>
      <c r="G1570" s="1"/>
      <c r="H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</row>
    <row r="1571" spans="1:19" x14ac:dyDescent="0.2">
      <c r="A1571" s="1"/>
      <c r="C1571" s="1"/>
      <c r="G1571" s="1"/>
      <c r="H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</row>
    <row r="1572" spans="1:19" x14ac:dyDescent="0.2">
      <c r="A1572" s="1"/>
      <c r="C1572" s="1"/>
      <c r="G1572" s="1"/>
      <c r="H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</row>
    <row r="1573" spans="1:19" x14ac:dyDescent="0.2">
      <c r="A1573" s="1"/>
      <c r="C1573" s="1"/>
      <c r="G1573" s="1"/>
      <c r="H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</row>
    <row r="1574" spans="1:19" x14ac:dyDescent="0.2">
      <c r="A1574" s="1"/>
      <c r="C1574" s="1"/>
      <c r="G1574" s="1"/>
      <c r="H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</row>
    <row r="1575" spans="1:19" x14ac:dyDescent="0.2">
      <c r="A1575" s="1"/>
      <c r="C1575" s="1"/>
      <c r="G1575" s="1"/>
      <c r="H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</row>
    <row r="1576" spans="1:19" x14ac:dyDescent="0.2">
      <c r="A1576" s="1"/>
      <c r="C1576" s="1"/>
      <c r="G1576" s="1"/>
      <c r="H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</row>
    <row r="1577" spans="1:19" x14ac:dyDescent="0.2">
      <c r="A1577" s="1"/>
      <c r="C1577" s="1"/>
      <c r="G1577" s="1"/>
      <c r="H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</row>
    <row r="1578" spans="1:19" x14ac:dyDescent="0.2">
      <c r="A1578" s="1"/>
      <c r="C1578" s="1"/>
      <c r="G1578" s="1"/>
      <c r="H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</row>
    <row r="1579" spans="1:19" x14ac:dyDescent="0.2">
      <c r="A1579" s="1"/>
      <c r="C1579" s="1"/>
      <c r="G1579" s="1"/>
      <c r="H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</row>
    <row r="1580" spans="1:19" x14ac:dyDescent="0.2">
      <c r="A1580" s="1"/>
      <c r="C1580" s="1"/>
      <c r="G1580" s="1"/>
      <c r="H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</row>
    <row r="1581" spans="1:19" x14ac:dyDescent="0.2">
      <c r="A1581" s="1"/>
      <c r="C1581" s="1"/>
      <c r="G1581" s="1"/>
      <c r="H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</row>
    <row r="1582" spans="1:19" x14ac:dyDescent="0.2">
      <c r="A1582" s="1"/>
      <c r="C1582" s="1"/>
      <c r="G1582" s="1"/>
      <c r="H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</row>
    <row r="1583" spans="1:19" x14ac:dyDescent="0.2">
      <c r="A1583" s="1"/>
      <c r="C1583" s="1"/>
      <c r="G1583" s="1"/>
      <c r="H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</row>
    <row r="1584" spans="1:19" x14ac:dyDescent="0.2">
      <c r="A1584" s="1"/>
      <c r="C1584" s="1"/>
      <c r="G1584" s="1"/>
      <c r="H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</row>
    <row r="1585" spans="1:19" x14ac:dyDescent="0.2">
      <c r="A1585" s="1"/>
      <c r="C1585" s="1"/>
      <c r="G1585" s="1"/>
      <c r="H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</row>
    <row r="1586" spans="1:19" x14ac:dyDescent="0.2">
      <c r="A1586" s="1"/>
      <c r="C1586" s="1"/>
      <c r="G1586" s="1"/>
      <c r="H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</row>
    <row r="1587" spans="1:19" x14ac:dyDescent="0.2">
      <c r="A1587" s="1"/>
      <c r="C1587" s="1"/>
      <c r="G1587" s="1"/>
      <c r="H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</row>
    <row r="1588" spans="1:19" x14ac:dyDescent="0.2">
      <c r="A1588" s="1"/>
      <c r="C1588" s="1"/>
      <c r="G1588" s="1"/>
      <c r="H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</row>
    <row r="1589" spans="1:19" x14ac:dyDescent="0.2">
      <c r="A1589" s="1"/>
      <c r="C1589" s="1"/>
      <c r="G1589" s="1"/>
      <c r="H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</row>
    <row r="1590" spans="1:19" x14ac:dyDescent="0.2">
      <c r="A1590" s="1"/>
      <c r="C1590" s="1"/>
      <c r="G1590" s="1"/>
      <c r="H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</row>
    <row r="1591" spans="1:19" x14ac:dyDescent="0.2">
      <c r="A1591" s="1"/>
      <c r="C1591" s="1"/>
      <c r="G1591" s="1"/>
      <c r="H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</row>
    <row r="1592" spans="1:19" x14ac:dyDescent="0.2">
      <c r="A1592" s="1"/>
      <c r="C1592" s="1"/>
      <c r="G1592" s="1"/>
      <c r="H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</row>
    <row r="1593" spans="1:19" x14ac:dyDescent="0.2">
      <c r="A1593" s="1"/>
      <c r="C1593" s="1"/>
      <c r="G1593" s="1"/>
      <c r="H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</row>
    <row r="1594" spans="1:19" x14ac:dyDescent="0.2">
      <c r="A1594" s="1"/>
      <c r="C1594" s="1"/>
      <c r="G1594" s="1"/>
      <c r="H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</row>
    <row r="1595" spans="1:19" x14ac:dyDescent="0.2">
      <c r="A1595" s="1"/>
      <c r="C1595" s="1"/>
      <c r="G1595" s="1"/>
      <c r="H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</row>
    <row r="1596" spans="1:19" x14ac:dyDescent="0.2">
      <c r="A1596" s="1"/>
      <c r="C1596" s="1"/>
      <c r="G1596" s="1"/>
      <c r="H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</row>
    <row r="1597" spans="1:19" x14ac:dyDescent="0.2">
      <c r="A1597" s="1"/>
      <c r="C1597" s="1"/>
      <c r="G1597" s="1"/>
      <c r="H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</row>
    <row r="1598" spans="1:19" x14ac:dyDescent="0.2">
      <c r="A1598" s="1"/>
      <c r="C1598" s="1"/>
      <c r="G1598" s="1"/>
      <c r="H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</row>
    <row r="1599" spans="1:19" x14ac:dyDescent="0.2">
      <c r="A1599" s="1"/>
      <c r="C1599" s="1"/>
      <c r="G1599" s="1"/>
      <c r="H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</row>
    <row r="1600" spans="1:19" x14ac:dyDescent="0.2">
      <c r="A1600" s="1"/>
      <c r="C1600" s="1"/>
      <c r="G1600" s="1"/>
      <c r="H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</row>
    <row r="1601" spans="1:19" x14ac:dyDescent="0.2">
      <c r="A1601" s="1"/>
      <c r="C1601" s="1"/>
      <c r="G1601" s="1"/>
      <c r="H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</row>
    <row r="1602" spans="1:19" x14ac:dyDescent="0.2">
      <c r="A1602" s="1"/>
      <c r="C1602" s="1"/>
      <c r="G1602" s="1"/>
      <c r="H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</row>
    <row r="1603" spans="1:19" x14ac:dyDescent="0.2">
      <c r="A1603" s="1"/>
      <c r="C1603" s="1"/>
      <c r="G1603" s="1"/>
      <c r="H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</row>
    <row r="1604" spans="1:19" x14ac:dyDescent="0.2">
      <c r="A1604" s="1"/>
      <c r="C1604" s="1"/>
      <c r="G1604" s="1"/>
      <c r="H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</row>
    <row r="1605" spans="1:19" x14ac:dyDescent="0.2">
      <c r="A1605" s="1"/>
      <c r="C1605" s="1"/>
      <c r="G1605" s="1"/>
      <c r="H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</row>
    <row r="1606" spans="1:19" x14ac:dyDescent="0.2">
      <c r="A1606" s="1"/>
      <c r="C1606" s="1"/>
      <c r="G1606" s="1"/>
      <c r="H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</row>
    <row r="1607" spans="1:19" x14ac:dyDescent="0.2">
      <c r="A1607" s="1"/>
      <c r="C1607" s="1"/>
      <c r="G1607" s="1"/>
      <c r="H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</row>
    <row r="1608" spans="1:19" x14ac:dyDescent="0.2">
      <c r="A1608" s="1"/>
      <c r="C1608" s="1"/>
      <c r="G1608" s="1"/>
      <c r="H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</row>
    <row r="1609" spans="1:19" x14ac:dyDescent="0.2">
      <c r="A1609" s="1"/>
      <c r="C1609" s="1"/>
      <c r="G1609" s="1"/>
      <c r="H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</row>
    <row r="1610" spans="1:19" x14ac:dyDescent="0.2">
      <c r="A1610" s="1"/>
      <c r="C1610" s="1"/>
      <c r="G1610" s="1"/>
      <c r="H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</row>
    <row r="1611" spans="1:19" x14ac:dyDescent="0.2">
      <c r="A1611" s="1"/>
      <c r="C1611" s="1"/>
      <c r="G1611" s="1"/>
      <c r="H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</row>
    <row r="1612" spans="1:19" x14ac:dyDescent="0.2">
      <c r="A1612" s="1"/>
      <c r="C1612" s="1"/>
      <c r="G1612" s="1"/>
      <c r="H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</row>
    <row r="1613" spans="1:19" x14ac:dyDescent="0.2">
      <c r="A1613" s="1"/>
      <c r="C1613" s="1"/>
      <c r="G1613" s="1"/>
      <c r="H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</row>
    <row r="1614" spans="1:19" x14ac:dyDescent="0.2">
      <c r="A1614" s="1"/>
      <c r="C1614" s="1"/>
      <c r="G1614" s="1"/>
      <c r="H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</row>
    <row r="1615" spans="1:19" x14ac:dyDescent="0.2">
      <c r="A1615" s="1"/>
      <c r="C1615" s="1"/>
      <c r="G1615" s="1"/>
      <c r="H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</row>
    <row r="1616" spans="1:19" x14ac:dyDescent="0.2">
      <c r="A1616" s="1"/>
      <c r="C1616" s="1"/>
      <c r="G1616" s="1"/>
      <c r="H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</row>
    <row r="1617" spans="1:19" x14ac:dyDescent="0.2">
      <c r="A1617" s="1"/>
      <c r="C1617" s="1"/>
      <c r="G1617" s="1"/>
      <c r="H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</row>
    <row r="1618" spans="1:19" x14ac:dyDescent="0.2">
      <c r="A1618" s="1"/>
      <c r="C1618" s="1"/>
      <c r="G1618" s="1"/>
      <c r="H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</row>
    <row r="1619" spans="1:19" x14ac:dyDescent="0.2">
      <c r="A1619" s="1"/>
      <c r="C1619" s="1"/>
      <c r="G1619" s="1"/>
      <c r="H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</row>
    <row r="1620" spans="1:19" x14ac:dyDescent="0.2">
      <c r="A1620" s="1"/>
      <c r="C1620" s="1"/>
      <c r="G1620" s="1"/>
      <c r="H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</row>
    <row r="1621" spans="1:19" x14ac:dyDescent="0.2">
      <c r="A1621" s="1"/>
      <c r="C1621" s="1"/>
      <c r="G1621" s="1"/>
      <c r="H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</row>
    <row r="1622" spans="1:19" x14ac:dyDescent="0.2">
      <c r="A1622" s="1"/>
      <c r="C1622" s="1"/>
      <c r="G1622" s="1"/>
      <c r="H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</row>
    <row r="1623" spans="1:19" x14ac:dyDescent="0.2">
      <c r="A1623" s="1"/>
      <c r="C1623" s="1"/>
      <c r="G1623" s="1"/>
      <c r="H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</row>
    <row r="1624" spans="1:19" x14ac:dyDescent="0.2">
      <c r="A1624" s="1"/>
      <c r="C1624" s="1"/>
      <c r="G1624" s="1"/>
      <c r="H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</row>
    <row r="1625" spans="1:19" x14ac:dyDescent="0.2">
      <c r="A1625" s="1"/>
      <c r="C1625" s="1"/>
      <c r="G1625" s="1"/>
      <c r="H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</row>
    <row r="1626" spans="1:19" x14ac:dyDescent="0.2">
      <c r="A1626" s="1"/>
      <c r="C1626" s="1"/>
      <c r="G1626" s="1"/>
      <c r="H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</row>
    <row r="1627" spans="1:19" x14ac:dyDescent="0.2">
      <c r="A1627" s="1"/>
      <c r="C1627" s="1"/>
      <c r="G1627" s="1"/>
      <c r="H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</row>
    <row r="1628" spans="1:19" x14ac:dyDescent="0.2">
      <c r="A1628" s="1"/>
      <c r="C1628" s="1"/>
      <c r="G1628" s="1"/>
      <c r="H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</row>
    <row r="1629" spans="1:19" x14ac:dyDescent="0.2">
      <c r="A1629" s="1"/>
      <c r="C1629" s="1"/>
      <c r="G1629" s="1"/>
      <c r="H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</row>
    <row r="1630" spans="1:19" x14ac:dyDescent="0.2">
      <c r="A1630" s="1"/>
      <c r="C1630" s="1"/>
      <c r="G1630" s="1"/>
      <c r="H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</row>
    <row r="1631" spans="1:19" x14ac:dyDescent="0.2">
      <c r="A1631" s="1"/>
      <c r="C1631" s="1"/>
      <c r="G1631" s="1"/>
      <c r="H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</row>
    <row r="1632" spans="1:19" x14ac:dyDescent="0.2">
      <c r="A1632" s="1"/>
      <c r="C1632" s="1"/>
      <c r="G1632" s="1"/>
      <c r="H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</row>
    <row r="1633" spans="1:19" x14ac:dyDescent="0.2">
      <c r="A1633" s="1"/>
      <c r="C1633" s="1"/>
      <c r="G1633" s="1"/>
      <c r="H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</row>
    <row r="1634" spans="1:19" x14ac:dyDescent="0.2">
      <c r="A1634" s="1"/>
      <c r="C1634" s="1"/>
      <c r="G1634" s="1"/>
      <c r="H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</row>
    <row r="1635" spans="1:19" x14ac:dyDescent="0.2">
      <c r="A1635" s="1"/>
      <c r="C1635" s="1"/>
      <c r="G1635" s="1"/>
      <c r="H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</row>
    <row r="1636" spans="1:19" x14ac:dyDescent="0.2">
      <c r="A1636" s="1"/>
      <c r="C1636" s="1"/>
      <c r="G1636" s="1"/>
      <c r="H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</row>
    <row r="1637" spans="1:19" x14ac:dyDescent="0.2">
      <c r="A1637" s="1"/>
      <c r="C1637" s="1"/>
      <c r="G1637" s="1"/>
      <c r="H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</row>
    <row r="1638" spans="1:19" x14ac:dyDescent="0.2">
      <c r="A1638" s="1"/>
      <c r="C1638" s="1"/>
      <c r="G1638" s="1"/>
      <c r="H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</row>
    <row r="1639" spans="1:19" x14ac:dyDescent="0.2">
      <c r="A1639" s="1"/>
      <c r="C1639" s="1"/>
      <c r="G1639" s="1"/>
      <c r="H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</row>
    <row r="1640" spans="1:19" x14ac:dyDescent="0.2">
      <c r="A1640" s="1"/>
      <c r="C1640" s="1"/>
      <c r="G1640" s="1"/>
      <c r="H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</row>
    <row r="1641" spans="1:19" x14ac:dyDescent="0.2">
      <c r="A1641" s="1"/>
      <c r="C1641" s="1"/>
      <c r="G1641" s="1"/>
      <c r="H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</row>
    <row r="1642" spans="1:19" x14ac:dyDescent="0.2">
      <c r="A1642" s="1"/>
      <c r="C1642" s="1"/>
      <c r="G1642" s="1"/>
      <c r="H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</row>
    <row r="1643" spans="1:19" x14ac:dyDescent="0.2">
      <c r="A1643" s="1"/>
      <c r="C1643" s="1"/>
      <c r="G1643" s="1"/>
      <c r="H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</row>
    <row r="1644" spans="1:19" x14ac:dyDescent="0.2">
      <c r="A1644" s="1"/>
      <c r="C1644" s="1"/>
      <c r="G1644" s="1"/>
      <c r="H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</row>
    <row r="1645" spans="1:19" x14ac:dyDescent="0.2">
      <c r="A1645" s="1"/>
      <c r="C1645" s="1"/>
      <c r="G1645" s="1"/>
      <c r="H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</row>
    <row r="1646" spans="1:19" x14ac:dyDescent="0.2">
      <c r="A1646" s="1"/>
      <c r="C1646" s="1"/>
      <c r="G1646" s="1"/>
      <c r="H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</row>
    <row r="1647" spans="1:19" x14ac:dyDescent="0.2">
      <c r="A1647" s="1"/>
      <c r="C1647" s="1"/>
      <c r="G1647" s="1"/>
      <c r="H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</row>
    <row r="1648" spans="1:19" x14ac:dyDescent="0.2">
      <c r="A1648" s="1"/>
      <c r="C1648" s="1"/>
      <c r="G1648" s="1"/>
      <c r="H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</row>
    <row r="1649" spans="1:19" x14ac:dyDescent="0.2">
      <c r="A1649" s="1"/>
      <c r="C1649" s="1"/>
      <c r="G1649" s="1"/>
      <c r="H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</row>
    <row r="1650" spans="1:19" x14ac:dyDescent="0.2">
      <c r="A1650" s="1"/>
      <c r="C1650" s="1"/>
      <c r="G1650" s="1"/>
      <c r="H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</row>
    <row r="1651" spans="1:19" x14ac:dyDescent="0.2">
      <c r="A1651" s="1"/>
      <c r="C1651" s="1"/>
      <c r="G1651" s="1"/>
      <c r="H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</row>
    <row r="1652" spans="1:19" x14ac:dyDescent="0.2">
      <c r="A1652" s="1"/>
      <c r="C1652" s="1"/>
      <c r="G1652" s="1"/>
      <c r="H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</row>
    <row r="1653" spans="1:19" x14ac:dyDescent="0.2">
      <c r="A1653" s="1"/>
      <c r="C1653" s="1"/>
      <c r="G1653" s="1"/>
      <c r="H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</row>
    <row r="1654" spans="1:19" x14ac:dyDescent="0.2">
      <c r="A1654" s="1"/>
      <c r="C1654" s="1"/>
      <c r="G1654" s="1"/>
      <c r="H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</row>
    <row r="1655" spans="1:19" x14ac:dyDescent="0.2">
      <c r="A1655" s="1"/>
      <c r="C1655" s="1"/>
      <c r="G1655" s="1"/>
      <c r="H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</row>
    <row r="1656" spans="1:19" x14ac:dyDescent="0.2">
      <c r="A1656" s="1"/>
      <c r="C1656" s="1"/>
      <c r="G1656" s="1"/>
      <c r="H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</row>
    <row r="1657" spans="1:19" x14ac:dyDescent="0.2">
      <c r="A1657" s="1"/>
      <c r="C1657" s="1"/>
      <c r="G1657" s="1"/>
      <c r="H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</row>
    <row r="1658" spans="1:19" x14ac:dyDescent="0.2">
      <c r="A1658" s="1"/>
      <c r="C1658" s="1"/>
      <c r="G1658" s="1"/>
      <c r="H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</row>
    <row r="1659" spans="1:19" x14ac:dyDescent="0.2">
      <c r="A1659" s="1"/>
      <c r="C1659" s="1"/>
      <c r="G1659" s="1"/>
      <c r="H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</row>
    <row r="1660" spans="1:19" x14ac:dyDescent="0.2">
      <c r="A1660" s="1"/>
      <c r="C1660" s="1"/>
      <c r="G1660" s="1"/>
      <c r="H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</row>
    <row r="1661" spans="1:19" x14ac:dyDescent="0.2">
      <c r="A1661" s="1"/>
      <c r="C1661" s="1"/>
      <c r="G1661" s="1"/>
      <c r="H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</row>
    <row r="1662" spans="1:19" x14ac:dyDescent="0.2">
      <c r="A1662" s="1"/>
      <c r="C1662" s="1"/>
      <c r="G1662" s="1"/>
      <c r="H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</row>
    <row r="1663" spans="1:19" x14ac:dyDescent="0.2">
      <c r="A1663" s="1"/>
      <c r="C1663" s="1"/>
      <c r="G1663" s="1"/>
      <c r="H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</row>
    <row r="1664" spans="1:19" x14ac:dyDescent="0.2">
      <c r="A1664" s="1"/>
      <c r="C1664" s="1"/>
      <c r="G1664" s="1"/>
      <c r="H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</row>
    <row r="1665" spans="1:19" x14ac:dyDescent="0.2">
      <c r="A1665" s="1"/>
      <c r="C1665" s="1"/>
      <c r="G1665" s="1"/>
      <c r="H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</row>
    <row r="1666" spans="1:19" x14ac:dyDescent="0.2">
      <c r="A1666" s="1"/>
      <c r="C1666" s="1"/>
      <c r="G1666" s="1"/>
      <c r="H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</row>
    <row r="1667" spans="1:19" x14ac:dyDescent="0.2">
      <c r="A1667" s="1"/>
      <c r="C1667" s="1"/>
      <c r="G1667" s="1"/>
      <c r="H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</row>
    <row r="1668" spans="1:19" x14ac:dyDescent="0.2">
      <c r="A1668" s="1"/>
      <c r="C1668" s="1"/>
      <c r="G1668" s="1"/>
      <c r="H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</row>
    <row r="1669" spans="1:19" x14ac:dyDescent="0.2">
      <c r="A1669" s="1"/>
      <c r="C1669" s="1"/>
      <c r="G1669" s="1"/>
      <c r="H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</row>
    <row r="1670" spans="1:19" x14ac:dyDescent="0.2">
      <c r="A1670" s="1"/>
      <c r="C1670" s="1"/>
      <c r="G1670" s="1"/>
      <c r="H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</row>
    <row r="1671" spans="1:19" x14ac:dyDescent="0.2">
      <c r="A1671" s="1"/>
      <c r="C1671" s="1"/>
      <c r="G1671" s="1"/>
      <c r="H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</row>
    <row r="1672" spans="1:19" x14ac:dyDescent="0.2">
      <c r="A1672" s="1"/>
      <c r="C1672" s="1"/>
      <c r="G1672" s="1"/>
      <c r="H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</row>
    <row r="1673" spans="1:19" x14ac:dyDescent="0.2">
      <c r="A1673" s="1"/>
      <c r="C1673" s="1"/>
      <c r="G1673" s="1"/>
      <c r="H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</row>
    <row r="1674" spans="1:19" x14ac:dyDescent="0.2">
      <c r="A1674" s="1"/>
      <c r="C1674" s="1"/>
      <c r="G1674" s="1"/>
      <c r="H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</row>
    <row r="1675" spans="1:19" x14ac:dyDescent="0.2">
      <c r="A1675" s="1"/>
      <c r="C1675" s="1"/>
      <c r="G1675" s="1"/>
      <c r="H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</row>
    <row r="1676" spans="1:19" x14ac:dyDescent="0.2">
      <c r="A1676" s="1"/>
      <c r="C1676" s="1"/>
      <c r="G1676" s="1"/>
      <c r="H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</row>
    <row r="1677" spans="1:19" x14ac:dyDescent="0.2">
      <c r="A1677" s="1"/>
      <c r="C1677" s="1"/>
      <c r="G1677" s="1"/>
      <c r="H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</row>
    <row r="1678" spans="1:19" x14ac:dyDescent="0.2">
      <c r="A1678" s="1"/>
      <c r="C1678" s="1"/>
      <c r="G1678" s="1"/>
      <c r="H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</row>
    <row r="1679" spans="1:19" x14ac:dyDescent="0.2">
      <c r="A1679" s="1"/>
      <c r="C1679" s="1"/>
      <c r="G1679" s="1"/>
      <c r="H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</row>
    <row r="1680" spans="1:19" x14ac:dyDescent="0.2">
      <c r="A1680" s="1"/>
      <c r="C1680" s="1"/>
      <c r="G1680" s="1"/>
      <c r="H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</row>
    <row r="1681" spans="1:19" x14ac:dyDescent="0.2">
      <c r="A1681" s="1"/>
      <c r="C1681" s="1"/>
      <c r="G1681" s="1"/>
      <c r="H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</row>
    <row r="1682" spans="1:19" x14ac:dyDescent="0.2">
      <c r="A1682" s="1"/>
      <c r="C1682" s="1"/>
      <c r="G1682" s="1"/>
      <c r="H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</row>
    <row r="1683" spans="1:19" x14ac:dyDescent="0.2">
      <c r="A1683" s="1"/>
      <c r="C1683" s="1"/>
      <c r="G1683" s="1"/>
      <c r="H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</row>
    <row r="1684" spans="1:19" x14ac:dyDescent="0.2">
      <c r="A1684" s="1"/>
      <c r="C1684" s="1"/>
      <c r="G1684" s="1"/>
      <c r="H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</row>
    <row r="1685" spans="1:19" x14ac:dyDescent="0.2">
      <c r="A1685" s="1"/>
      <c r="C1685" s="1"/>
      <c r="G1685" s="1"/>
      <c r="H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</row>
    <row r="1686" spans="1:19" x14ac:dyDescent="0.2">
      <c r="A1686" s="1"/>
      <c r="C1686" s="1"/>
      <c r="G1686" s="1"/>
      <c r="H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</row>
    <row r="1687" spans="1:19" x14ac:dyDescent="0.2">
      <c r="A1687" s="1"/>
      <c r="C1687" s="1"/>
      <c r="G1687" s="1"/>
      <c r="H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</row>
    <row r="1688" spans="1:19" x14ac:dyDescent="0.2">
      <c r="A1688" s="1"/>
      <c r="C1688" s="1"/>
      <c r="G1688" s="1"/>
      <c r="H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</row>
    <row r="1689" spans="1:19" x14ac:dyDescent="0.2">
      <c r="A1689" s="1"/>
      <c r="C1689" s="1"/>
      <c r="G1689" s="1"/>
      <c r="H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</row>
    <row r="1690" spans="1:19" x14ac:dyDescent="0.2">
      <c r="A1690" s="1"/>
      <c r="C1690" s="1"/>
      <c r="G1690" s="1"/>
      <c r="H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</row>
    <row r="1691" spans="1:19" x14ac:dyDescent="0.2">
      <c r="A1691" s="1"/>
      <c r="C1691" s="1"/>
      <c r="G1691" s="1"/>
      <c r="H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</row>
    <row r="1692" spans="1:19" x14ac:dyDescent="0.2">
      <c r="A1692" s="1"/>
      <c r="C1692" s="1"/>
      <c r="G1692" s="1"/>
      <c r="H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</row>
    <row r="1693" spans="1:19" x14ac:dyDescent="0.2">
      <c r="A1693" s="1"/>
      <c r="C1693" s="1"/>
      <c r="G1693" s="1"/>
      <c r="H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</row>
    <row r="1694" spans="1:19" x14ac:dyDescent="0.2">
      <c r="A1694" s="1"/>
      <c r="C1694" s="1"/>
      <c r="G1694" s="1"/>
      <c r="H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</row>
    <row r="1695" spans="1:19" x14ac:dyDescent="0.2">
      <c r="A1695" s="1"/>
      <c r="C1695" s="1"/>
      <c r="G1695" s="1"/>
      <c r="H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</row>
    <row r="1696" spans="1:19" x14ac:dyDescent="0.2">
      <c r="A1696" s="1"/>
      <c r="C1696" s="1"/>
      <c r="G1696" s="1"/>
      <c r="H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</row>
    <row r="1697" spans="1:19" x14ac:dyDescent="0.2">
      <c r="A1697" s="1"/>
      <c r="C1697" s="1"/>
      <c r="G1697" s="1"/>
      <c r="H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</row>
    <row r="1698" spans="1:19" x14ac:dyDescent="0.2">
      <c r="A1698" s="1"/>
      <c r="C1698" s="1"/>
      <c r="G1698" s="1"/>
      <c r="H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</row>
    <row r="1699" spans="1:19" x14ac:dyDescent="0.2">
      <c r="A1699" s="1"/>
      <c r="C1699" s="1"/>
      <c r="G1699" s="1"/>
      <c r="H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</row>
    <row r="1700" spans="1:19" x14ac:dyDescent="0.2">
      <c r="A1700" s="1"/>
      <c r="C1700" s="1"/>
      <c r="G1700" s="1"/>
      <c r="H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</row>
    <row r="1701" spans="1:19" x14ac:dyDescent="0.2">
      <c r="A1701" s="1"/>
      <c r="C1701" s="1"/>
      <c r="G1701" s="1"/>
      <c r="H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</row>
    <row r="1702" spans="1:19" x14ac:dyDescent="0.2">
      <c r="A1702" s="1"/>
      <c r="C1702" s="1"/>
      <c r="G1702" s="1"/>
      <c r="H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</row>
    <row r="1703" spans="1:19" x14ac:dyDescent="0.2">
      <c r="A1703" s="1"/>
      <c r="C1703" s="1"/>
      <c r="G1703" s="1"/>
      <c r="H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</row>
    <row r="1704" spans="1:19" x14ac:dyDescent="0.2">
      <c r="A1704" s="1"/>
      <c r="C1704" s="1"/>
      <c r="G1704" s="1"/>
      <c r="H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</row>
    <row r="1705" spans="1:19" x14ac:dyDescent="0.2">
      <c r="A1705" s="1"/>
      <c r="C1705" s="1"/>
      <c r="G1705" s="1"/>
      <c r="H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</row>
    <row r="1706" spans="1:19" x14ac:dyDescent="0.2">
      <c r="A1706" s="1"/>
      <c r="C1706" s="1"/>
      <c r="G1706" s="1"/>
      <c r="H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</row>
    <row r="1707" spans="1:19" x14ac:dyDescent="0.2">
      <c r="A1707" s="1"/>
      <c r="C1707" s="1"/>
      <c r="G1707" s="1"/>
      <c r="H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</row>
    <row r="1708" spans="1:19" x14ac:dyDescent="0.2">
      <c r="A1708" s="1"/>
      <c r="C1708" s="1"/>
      <c r="G1708" s="1"/>
      <c r="H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</row>
    <row r="1709" spans="1:19" x14ac:dyDescent="0.2">
      <c r="A1709" s="1"/>
      <c r="C1709" s="1"/>
      <c r="G1709" s="1"/>
      <c r="H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</row>
    <row r="1710" spans="1:19" x14ac:dyDescent="0.2">
      <c r="A1710" s="1"/>
      <c r="C1710" s="1"/>
      <c r="G1710" s="1"/>
      <c r="H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</row>
    <row r="1711" spans="1:19" x14ac:dyDescent="0.2">
      <c r="A1711" s="1"/>
      <c r="C1711" s="1"/>
      <c r="G1711" s="1"/>
      <c r="H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</row>
    <row r="1712" spans="1:19" x14ac:dyDescent="0.2">
      <c r="A1712" s="1"/>
      <c r="C1712" s="1"/>
      <c r="G1712" s="1"/>
      <c r="H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</row>
    <row r="1713" spans="1:19" x14ac:dyDescent="0.2">
      <c r="A1713" s="1"/>
      <c r="C1713" s="1"/>
      <c r="G1713" s="1"/>
      <c r="H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</row>
    <row r="1714" spans="1:19" x14ac:dyDescent="0.2">
      <c r="A1714" s="1"/>
      <c r="C1714" s="1"/>
      <c r="G1714" s="1"/>
      <c r="H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</row>
    <row r="1715" spans="1:19" x14ac:dyDescent="0.2">
      <c r="A1715" s="1"/>
      <c r="C1715" s="1"/>
      <c r="G1715" s="1"/>
      <c r="H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</row>
    <row r="1716" spans="1:19" x14ac:dyDescent="0.2">
      <c r="A1716" s="1"/>
      <c r="C1716" s="1"/>
      <c r="G1716" s="1"/>
      <c r="H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</row>
    <row r="1717" spans="1:19" x14ac:dyDescent="0.2">
      <c r="A1717" s="1"/>
      <c r="C1717" s="1"/>
      <c r="G1717" s="1"/>
      <c r="H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</row>
    <row r="1718" spans="1:19" x14ac:dyDescent="0.2">
      <c r="A1718" s="1"/>
      <c r="C1718" s="1"/>
      <c r="G1718" s="1"/>
      <c r="H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</row>
    <row r="1719" spans="1:19" x14ac:dyDescent="0.2">
      <c r="A1719" s="1"/>
      <c r="C1719" s="1"/>
      <c r="G1719" s="1"/>
      <c r="H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</row>
    <row r="1720" spans="1:19" x14ac:dyDescent="0.2">
      <c r="A1720" s="1"/>
      <c r="C1720" s="1"/>
      <c r="G1720" s="1"/>
      <c r="H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</row>
    <row r="1721" spans="1:19" x14ac:dyDescent="0.2">
      <c r="A1721" s="1"/>
      <c r="C1721" s="1"/>
      <c r="G1721" s="1"/>
      <c r="H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</row>
    <row r="1722" spans="1:19" x14ac:dyDescent="0.2">
      <c r="A1722" s="1"/>
      <c r="C1722" s="1"/>
      <c r="G1722" s="1"/>
      <c r="H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</row>
    <row r="1723" spans="1:19" x14ac:dyDescent="0.2">
      <c r="A1723" s="1"/>
      <c r="C1723" s="1"/>
      <c r="G1723" s="1"/>
      <c r="H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</row>
    <row r="1724" spans="1:19" x14ac:dyDescent="0.2">
      <c r="A1724" s="1"/>
      <c r="C1724" s="1"/>
      <c r="G1724" s="1"/>
      <c r="H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</row>
    <row r="1725" spans="1:19" x14ac:dyDescent="0.2">
      <c r="A1725" s="1"/>
      <c r="C1725" s="1"/>
      <c r="G1725" s="1"/>
      <c r="H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</row>
    <row r="1726" spans="1:19" x14ac:dyDescent="0.2">
      <c r="A1726" s="1"/>
      <c r="C1726" s="1"/>
      <c r="G1726" s="1"/>
      <c r="H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</row>
    <row r="1727" spans="1:19" x14ac:dyDescent="0.2">
      <c r="A1727" s="1"/>
      <c r="C1727" s="1"/>
      <c r="G1727" s="1"/>
      <c r="H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</row>
    <row r="1728" spans="1:19" x14ac:dyDescent="0.2">
      <c r="A1728" s="1"/>
      <c r="C1728" s="1"/>
      <c r="G1728" s="1"/>
      <c r="H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</row>
    <row r="1729" spans="1:19" x14ac:dyDescent="0.2">
      <c r="A1729" s="1"/>
      <c r="C1729" s="1"/>
      <c r="G1729" s="1"/>
      <c r="H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</row>
    <row r="1730" spans="1:19" x14ac:dyDescent="0.2">
      <c r="A1730" s="1"/>
      <c r="C1730" s="1"/>
      <c r="G1730" s="1"/>
      <c r="H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</row>
    <row r="1731" spans="1:19" x14ac:dyDescent="0.2">
      <c r="A1731" s="1"/>
      <c r="C1731" s="1"/>
      <c r="G1731" s="1"/>
      <c r="H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</row>
    <row r="1732" spans="1:19" x14ac:dyDescent="0.2">
      <c r="A1732" s="1"/>
      <c r="C1732" s="1"/>
      <c r="G1732" s="1"/>
      <c r="H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</row>
    <row r="1733" spans="1:19" x14ac:dyDescent="0.2">
      <c r="A1733" s="1"/>
      <c r="C1733" s="1"/>
      <c r="G1733" s="1"/>
      <c r="H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</row>
    <row r="1734" spans="1:19" x14ac:dyDescent="0.2">
      <c r="A1734" s="1"/>
      <c r="C1734" s="1"/>
      <c r="G1734" s="1"/>
      <c r="H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</row>
    <row r="1735" spans="1:19" x14ac:dyDescent="0.2">
      <c r="A1735" s="1"/>
      <c r="C1735" s="1"/>
      <c r="G1735" s="1"/>
      <c r="H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</row>
    <row r="1736" spans="1:19" x14ac:dyDescent="0.2">
      <c r="A1736" s="1"/>
      <c r="C1736" s="1"/>
      <c r="G1736" s="1"/>
      <c r="H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</row>
    <row r="1737" spans="1:19" x14ac:dyDescent="0.2">
      <c r="A1737" s="1"/>
      <c r="C1737" s="1"/>
      <c r="G1737" s="1"/>
      <c r="H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</row>
    <row r="1738" spans="1:19" x14ac:dyDescent="0.2">
      <c r="A1738" s="1"/>
      <c r="C1738" s="1"/>
      <c r="G1738" s="1"/>
      <c r="H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</row>
    <row r="1739" spans="1:19" x14ac:dyDescent="0.2">
      <c r="A1739" s="1"/>
      <c r="C1739" s="1"/>
      <c r="G1739" s="1"/>
      <c r="H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</row>
    <row r="1740" spans="1:19" x14ac:dyDescent="0.2">
      <c r="A1740" s="1"/>
      <c r="C1740" s="1"/>
      <c r="G1740" s="1"/>
      <c r="H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</row>
    <row r="1741" spans="1:19" x14ac:dyDescent="0.2">
      <c r="A1741" s="1"/>
      <c r="C1741" s="1"/>
      <c r="G1741" s="1"/>
      <c r="H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</row>
    <row r="1742" spans="1:19" x14ac:dyDescent="0.2">
      <c r="A1742" s="1"/>
      <c r="C1742" s="1"/>
      <c r="G1742" s="1"/>
      <c r="H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</row>
    <row r="1743" spans="1:19" x14ac:dyDescent="0.2">
      <c r="A1743" s="1"/>
      <c r="C1743" s="1"/>
      <c r="G1743" s="1"/>
      <c r="H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</row>
    <row r="1744" spans="1:19" x14ac:dyDescent="0.2">
      <c r="A1744" s="1"/>
      <c r="C1744" s="1"/>
      <c r="G1744" s="1"/>
      <c r="H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</row>
    <row r="1745" spans="1:19" x14ac:dyDescent="0.2">
      <c r="A1745" s="1"/>
      <c r="C1745" s="1"/>
      <c r="G1745" s="1"/>
      <c r="H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</row>
    <row r="1746" spans="1:19" x14ac:dyDescent="0.2">
      <c r="A1746" s="1"/>
      <c r="C1746" s="1"/>
      <c r="G1746" s="1"/>
      <c r="H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</row>
    <row r="1747" spans="1:19" x14ac:dyDescent="0.2">
      <c r="A1747" s="1"/>
      <c r="C1747" s="1"/>
      <c r="G1747" s="1"/>
      <c r="H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</row>
    <row r="1748" spans="1:19" x14ac:dyDescent="0.2">
      <c r="A1748" s="1"/>
      <c r="C1748" s="1"/>
      <c r="G1748" s="1"/>
      <c r="H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</row>
    <row r="1749" spans="1:19" x14ac:dyDescent="0.2">
      <c r="A1749" s="1"/>
      <c r="C1749" s="1"/>
      <c r="G1749" s="1"/>
      <c r="H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</row>
    <row r="1750" spans="1:19" x14ac:dyDescent="0.2">
      <c r="A1750" s="1"/>
      <c r="C1750" s="1"/>
      <c r="G1750" s="1"/>
      <c r="H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</row>
    <row r="1751" spans="1:19" x14ac:dyDescent="0.2">
      <c r="A1751" s="1"/>
      <c r="C1751" s="1"/>
      <c r="G1751" s="1"/>
      <c r="H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</row>
    <row r="1752" spans="1:19" x14ac:dyDescent="0.2">
      <c r="A1752" s="1"/>
      <c r="C1752" s="1"/>
      <c r="G1752" s="1"/>
      <c r="H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</row>
    <row r="1753" spans="1:19" x14ac:dyDescent="0.2">
      <c r="A1753" s="1"/>
      <c r="C1753" s="1"/>
      <c r="G1753" s="1"/>
      <c r="H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</row>
    <row r="1754" spans="1:19" x14ac:dyDescent="0.2">
      <c r="A1754" s="1"/>
      <c r="C1754" s="1"/>
      <c r="G1754" s="1"/>
      <c r="H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</row>
    <row r="1755" spans="1:19" x14ac:dyDescent="0.2">
      <c r="A1755" s="1"/>
      <c r="C1755" s="1"/>
      <c r="G1755" s="1"/>
      <c r="H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</row>
    <row r="1756" spans="1:19" x14ac:dyDescent="0.2">
      <c r="A1756" s="1"/>
      <c r="C1756" s="1"/>
      <c r="G1756" s="1"/>
      <c r="H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</row>
    <row r="1757" spans="1:19" x14ac:dyDescent="0.2">
      <c r="A1757" s="1"/>
      <c r="C1757" s="1"/>
      <c r="G1757" s="1"/>
      <c r="H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</row>
    <row r="1758" spans="1:19" x14ac:dyDescent="0.2">
      <c r="A1758" s="1"/>
      <c r="C1758" s="1"/>
      <c r="G1758" s="1"/>
      <c r="H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</row>
    <row r="1759" spans="1:19" x14ac:dyDescent="0.2">
      <c r="A1759" s="1"/>
      <c r="C1759" s="1"/>
      <c r="G1759" s="1"/>
      <c r="H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</row>
    <row r="1760" spans="1:19" x14ac:dyDescent="0.2">
      <c r="A1760" s="1"/>
      <c r="C1760" s="1"/>
      <c r="G1760" s="1"/>
      <c r="H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</row>
    <row r="1761" spans="1:19" x14ac:dyDescent="0.2">
      <c r="A1761" s="1"/>
      <c r="C1761" s="1"/>
      <c r="G1761" s="1"/>
      <c r="H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</row>
    <row r="1762" spans="1:19" x14ac:dyDescent="0.2">
      <c r="A1762" s="1"/>
      <c r="C1762" s="1"/>
      <c r="G1762" s="1"/>
      <c r="H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</row>
    <row r="1763" spans="1:19" x14ac:dyDescent="0.2">
      <c r="A1763" s="1"/>
      <c r="C1763" s="1"/>
      <c r="G1763" s="1"/>
      <c r="H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</row>
    <row r="1764" spans="1:19" x14ac:dyDescent="0.2">
      <c r="A1764" s="1"/>
      <c r="C1764" s="1"/>
      <c r="G1764" s="1"/>
      <c r="H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</row>
    <row r="1765" spans="1:19" x14ac:dyDescent="0.2">
      <c r="A1765" s="1"/>
      <c r="C1765" s="1"/>
      <c r="G1765" s="1"/>
      <c r="H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</row>
    <row r="1766" spans="1:19" x14ac:dyDescent="0.2">
      <c r="A1766" s="1"/>
      <c r="C1766" s="1"/>
      <c r="G1766" s="1"/>
      <c r="H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</row>
    <row r="1767" spans="1:19" x14ac:dyDescent="0.2">
      <c r="A1767" s="1"/>
      <c r="C1767" s="1"/>
      <c r="G1767" s="1"/>
      <c r="H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</row>
    <row r="1768" spans="1:19" x14ac:dyDescent="0.2">
      <c r="A1768" s="1"/>
      <c r="C1768" s="1"/>
      <c r="G1768" s="1"/>
      <c r="H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</row>
    <row r="1769" spans="1:19" x14ac:dyDescent="0.2">
      <c r="A1769" s="1"/>
      <c r="C1769" s="1"/>
      <c r="G1769" s="1"/>
      <c r="H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</row>
    <row r="1770" spans="1:19" x14ac:dyDescent="0.2">
      <c r="A1770" s="1"/>
      <c r="C1770" s="1"/>
      <c r="G1770" s="1"/>
      <c r="H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</row>
    <row r="1771" spans="1:19" x14ac:dyDescent="0.2">
      <c r="A1771" s="1"/>
      <c r="C1771" s="1"/>
      <c r="G1771" s="1"/>
      <c r="H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</row>
    <row r="1772" spans="1:19" x14ac:dyDescent="0.2">
      <c r="A1772" s="1"/>
      <c r="C1772" s="1"/>
      <c r="G1772" s="1"/>
      <c r="H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</row>
    <row r="1773" spans="1:19" x14ac:dyDescent="0.2">
      <c r="A1773" s="1"/>
      <c r="C1773" s="1"/>
      <c r="G1773" s="1"/>
      <c r="H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</row>
    <row r="1774" spans="1:19" x14ac:dyDescent="0.2">
      <c r="A1774" s="1"/>
      <c r="C1774" s="1"/>
      <c r="G1774" s="1"/>
      <c r="H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</row>
    <row r="1775" spans="1:19" x14ac:dyDescent="0.2">
      <c r="A1775" s="1"/>
      <c r="C1775" s="1"/>
      <c r="G1775" s="1"/>
      <c r="H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</row>
    <row r="1776" spans="1:19" x14ac:dyDescent="0.2">
      <c r="A1776" s="1"/>
      <c r="C1776" s="1"/>
      <c r="G1776" s="1"/>
      <c r="H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</row>
    <row r="1777" spans="1:19" x14ac:dyDescent="0.2">
      <c r="A1777" s="1"/>
      <c r="C1777" s="1"/>
      <c r="G1777" s="1"/>
      <c r="H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</row>
    <row r="1778" spans="1:19" x14ac:dyDescent="0.2">
      <c r="A1778" s="1"/>
      <c r="C1778" s="1"/>
      <c r="G1778" s="1"/>
      <c r="H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</row>
    <row r="1779" spans="1:19" x14ac:dyDescent="0.2">
      <c r="A1779" s="1"/>
      <c r="C1779" s="1"/>
      <c r="G1779" s="1"/>
      <c r="H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</row>
    <row r="1780" spans="1:19" x14ac:dyDescent="0.2">
      <c r="A1780" s="1"/>
      <c r="C1780" s="1"/>
      <c r="G1780" s="1"/>
      <c r="H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</row>
    <row r="1781" spans="1:19" x14ac:dyDescent="0.2">
      <c r="A1781" s="1"/>
      <c r="C1781" s="1"/>
      <c r="G1781" s="1"/>
      <c r="H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</row>
    <row r="1782" spans="1:19" x14ac:dyDescent="0.2">
      <c r="A1782" s="1"/>
      <c r="C1782" s="1"/>
      <c r="G1782" s="1"/>
      <c r="H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</row>
    <row r="1783" spans="1:19" x14ac:dyDescent="0.2">
      <c r="A1783" s="1"/>
      <c r="C1783" s="1"/>
      <c r="G1783" s="1"/>
      <c r="H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</row>
    <row r="1784" spans="1:19" x14ac:dyDescent="0.2">
      <c r="A1784" s="1"/>
      <c r="C1784" s="1"/>
      <c r="G1784" s="1"/>
      <c r="H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</row>
    <row r="1785" spans="1:19" x14ac:dyDescent="0.2">
      <c r="A1785" s="1"/>
      <c r="C1785" s="1"/>
      <c r="G1785" s="1"/>
      <c r="H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</row>
    <row r="1786" spans="1:19" x14ac:dyDescent="0.2">
      <c r="A1786" s="1"/>
      <c r="C1786" s="1"/>
      <c r="G1786" s="1"/>
      <c r="H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</row>
    <row r="1787" spans="1:19" x14ac:dyDescent="0.2">
      <c r="A1787" s="1"/>
      <c r="C1787" s="1"/>
      <c r="G1787" s="1"/>
      <c r="H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</row>
    <row r="1788" spans="1:19" x14ac:dyDescent="0.2">
      <c r="A1788" s="1"/>
      <c r="C1788" s="1"/>
      <c r="G1788" s="1"/>
      <c r="H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</row>
    <row r="1789" spans="1:19" x14ac:dyDescent="0.2">
      <c r="A1789" s="1"/>
      <c r="C1789" s="1"/>
      <c r="G1789" s="1"/>
      <c r="H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</row>
    <row r="1790" spans="1:19" x14ac:dyDescent="0.2">
      <c r="A1790" s="1"/>
      <c r="C1790" s="1"/>
      <c r="G1790" s="1"/>
      <c r="H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</row>
    <row r="1791" spans="1:19" x14ac:dyDescent="0.2">
      <c r="A1791" s="1"/>
      <c r="C1791" s="1"/>
      <c r="G1791" s="1"/>
      <c r="H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</row>
    <row r="1792" spans="1:19" x14ac:dyDescent="0.2">
      <c r="A1792" s="1"/>
      <c r="C1792" s="1"/>
      <c r="G1792" s="1"/>
      <c r="H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</row>
    <row r="1793" spans="1:19" x14ac:dyDescent="0.2">
      <c r="A1793" s="1"/>
      <c r="C1793" s="1"/>
      <c r="G1793" s="1"/>
      <c r="H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</row>
    <row r="1794" spans="1:19" x14ac:dyDescent="0.2">
      <c r="A1794" s="1"/>
      <c r="C1794" s="1"/>
      <c r="G1794" s="1"/>
      <c r="H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</row>
    <row r="1795" spans="1:19" x14ac:dyDescent="0.2">
      <c r="A1795" s="1"/>
      <c r="C1795" s="1"/>
      <c r="G1795" s="1"/>
      <c r="H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</row>
    <row r="1796" spans="1:19" x14ac:dyDescent="0.2">
      <c r="A1796" s="1"/>
      <c r="C1796" s="1"/>
      <c r="G1796" s="1"/>
      <c r="H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</row>
    <row r="1797" spans="1:19" x14ac:dyDescent="0.2">
      <c r="A1797" s="1"/>
      <c r="C1797" s="1"/>
      <c r="G1797" s="1"/>
      <c r="H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</row>
    <row r="1798" spans="1:19" x14ac:dyDescent="0.2">
      <c r="A1798" s="1"/>
      <c r="C1798" s="1"/>
      <c r="G1798" s="1"/>
      <c r="H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</row>
    <row r="1799" spans="1:19" x14ac:dyDescent="0.2">
      <c r="A1799" s="1"/>
      <c r="C1799" s="1"/>
      <c r="G1799" s="1"/>
      <c r="H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</row>
    <row r="1800" spans="1:19" x14ac:dyDescent="0.2">
      <c r="A1800" s="1"/>
      <c r="C1800" s="1"/>
      <c r="G1800" s="1"/>
      <c r="H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</row>
    <row r="1801" spans="1:19" x14ac:dyDescent="0.2">
      <c r="A1801" s="1"/>
      <c r="C1801" s="1"/>
      <c r="G1801" s="1"/>
      <c r="H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</row>
    <row r="1802" spans="1:19" x14ac:dyDescent="0.2">
      <c r="A1802" s="1"/>
      <c r="C1802" s="1"/>
      <c r="G1802" s="1"/>
      <c r="H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</row>
    <row r="1803" spans="1:19" x14ac:dyDescent="0.2">
      <c r="A1803" s="1"/>
      <c r="C1803" s="1"/>
      <c r="G1803" s="1"/>
      <c r="H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</row>
    <row r="1804" spans="1:19" x14ac:dyDescent="0.2">
      <c r="A1804" s="1"/>
      <c r="C1804" s="1"/>
      <c r="G1804" s="1"/>
      <c r="H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</row>
    <row r="1805" spans="1:19" x14ac:dyDescent="0.2">
      <c r="A1805" s="1"/>
      <c r="C1805" s="1"/>
      <c r="G1805" s="1"/>
      <c r="H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</row>
    <row r="1806" spans="1:19" x14ac:dyDescent="0.2">
      <c r="A1806" s="1"/>
      <c r="C1806" s="1"/>
      <c r="G1806" s="1"/>
      <c r="H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</row>
    <row r="1807" spans="1:19" x14ac:dyDescent="0.2">
      <c r="A1807" s="1"/>
      <c r="C1807" s="1"/>
      <c r="G1807" s="1"/>
      <c r="H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</row>
    <row r="1808" spans="1:19" x14ac:dyDescent="0.2">
      <c r="A1808" s="1"/>
      <c r="C1808" s="1"/>
      <c r="G1808" s="1"/>
      <c r="H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</row>
    <row r="1809" spans="1:19" x14ac:dyDescent="0.2">
      <c r="A1809" s="1"/>
      <c r="C1809" s="1"/>
      <c r="G1809" s="1"/>
      <c r="H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</row>
    <row r="1810" spans="1:19" x14ac:dyDescent="0.2">
      <c r="A1810" s="1"/>
      <c r="C1810" s="1"/>
      <c r="G1810" s="1"/>
      <c r="H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</row>
    <row r="1811" spans="1:19" x14ac:dyDescent="0.2">
      <c r="A1811" s="1"/>
      <c r="C1811" s="1"/>
      <c r="G1811" s="1"/>
      <c r="H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</row>
    <row r="1812" spans="1:19" x14ac:dyDescent="0.2">
      <c r="A1812" s="1"/>
      <c r="C1812" s="1"/>
      <c r="G1812" s="1"/>
      <c r="H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</row>
    <row r="1813" spans="1:19" x14ac:dyDescent="0.2">
      <c r="A1813" s="1"/>
      <c r="C1813" s="1"/>
      <c r="G1813" s="1"/>
      <c r="H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</row>
    <row r="1814" spans="1:19" x14ac:dyDescent="0.2">
      <c r="A1814" s="1"/>
      <c r="C1814" s="1"/>
      <c r="G1814" s="1"/>
      <c r="H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</row>
    <row r="1815" spans="1:19" x14ac:dyDescent="0.2">
      <c r="A1815" s="1"/>
      <c r="C1815" s="1"/>
      <c r="G1815" s="1"/>
      <c r="H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</row>
    <row r="1816" spans="1:19" x14ac:dyDescent="0.2">
      <c r="A1816" s="1"/>
      <c r="C1816" s="1"/>
      <c r="G1816" s="1"/>
      <c r="H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</row>
    <row r="1817" spans="1:19" x14ac:dyDescent="0.2">
      <c r="A1817" s="1"/>
      <c r="C1817" s="1"/>
      <c r="G1817" s="1"/>
      <c r="H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</row>
    <row r="1818" spans="1:19" x14ac:dyDescent="0.2">
      <c r="A1818" s="1"/>
      <c r="C1818" s="1"/>
      <c r="G1818" s="1"/>
      <c r="H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</row>
    <row r="1819" spans="1:19" x14ac:dyDescent="0.2">
      <c r="A1819" s="1"/>
      <c r="C1819" s="1"/>
      <c r="G1819" s="1"/>
      <c r="H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</row>
    <row r="1820" spans="1:19" x14ac:dyDescent="0.2">
      <c r="A1820" s="1"/>
      <c r="C1820" s="1"/>
      <c r="G1820" s="1"/>
      <c r="H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</row>
    <row r="1821" spans="1:19" x14ac:dyDescent="0.2">
      <c r="A1821" s="1"/>
      <c r="C1821" s="1"/>
      <c r="G1821" s="1"/>
      <c r="H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</row>
    <row r="1822" spans="1:19" x14ac:dyDescent="0.2">
      <c r="A1822" s="1"/>
      <c r="C1822" s="1"/>
      <c r="G1822" s="1"/>
      <c r="H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</row>
    <row r="1823" spans="1:19" x14ac:dyDescent="0.2">
      <c r="A1823" s="1"/>
      <c r="C1823" s="1"/>
      <c r="G1823" s="1"/>
      <c r="H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</row>
    <row r="1824" spans="1:19" x14ac:dyDescent="0.2">
      <c r="A1824" s="1"/>
      <c r="C1824" s="1"/>
      <c r="G1824" s="1"/>
      <c r="H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</row>
    <row r="1825" spans="1:19" x14ac:dyDescent="0.2">
      <c r="A1825" s="1"/>
      <c r="C1825" s="1"/>
      <c r="G1825" s="1"/>
      <c r="H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</row>
    <row r="1826" spans="1:19" x14ac:dyDescent="0.2">
      <c r="A1826" s="1"/>
      <c r="C1826" s="1"/>
      <c r="G1826" s="1"/>
      <c r="H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</row>
    <row r="1827" spans="1:19" x14ac:dyDescent="0.2">
      <c r="A1827" s="1"/>
      <c r="C1827" s="1"/>
      <c r="G1827" s="1"/>
      <c r="H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</row>
    <row r="1828" spans="1:19" x14ac:dyDescent="0.2">
      <c r="A1828" s="1"/>
      <c r="C1828" s="1"/>
      <c r="G1828" s="1"/>
      <c r="H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</row>
    <row r="1829" spans="1:19" x14ac:dyDescent="0.2">
      <c r="A1829" s="1"/>
      <c r="C1829" s="1"/>
      <c r="G1829" s="1"/>
      <c r="H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</row>
    <row r="1830" spans="1:19" x14ac:dyDescent="0.2">
      <c r="A1830" s="1"/>
      <c r="C1830" s="1"/>
      <c r="G1830" s="1"/>
      <c r="H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</row>
    <row r="1831" spans="1:19" x14ac:dyDescent="0.2">
      <c r="A1831" s="1"/>
      <c r="C1831" s="1"/>
      <c r="G1831" s="1"/>
      <c r="H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</row>
    <row r="1832" spans="1:19" x14ac:dyDescent="0.2">
      <c r="A1832" s="1"/>
      <c r="C1832" s="1"/>
      <c r="G1832" s="1"/>
      <c r="H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</row>
    <row r="1833" spans="1:19" x14ac:dyDescent="0.2">
      <c r="A1833" s="1"/>
      <c r="C1833" s="1"/>
      <c r="G1833" s="1"/>
      <c r="H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</row>
    <row r="1834" spans="1:19" x14ac:dyDescent="0.2">
      <c r="A1834" s="1"/>
      <c r="C1834" s="1"/>
      <c r="G1834" s="1"/>
      <c r="H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</row>
    <row r="1835" spans="1:19" x14ac:dyDescent="0.2">
      <c r="A1835" s="1"/>
      <c r="C1835" s="1"/>
      <c r="G1835" s="1"/>
      <c r="H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</row>
    <row r="1836" spans="1:19" x14ac:dyDescent="0.2">
      <c r="A1836" s="1"/>
      <c r="C1836" s="1"/>
      <c r="G1836" s="1"/>
      <c r="H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</row>
    <row r="1837" spans="1:19" x14ac:dyDescent="0.2">
      <c r="A1837" s="1"/>
      <c r="C1837" s="1"/>
      <c r="G1837" s="1"/>
      <c r="H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</row>
    <row r="1838" spans="1:19" x14ac:dyDescent="0.2">
      <c r="A1838" s="1"/>
      <c r="C1838" s="1"/>
      <c r="G1838" s="1"/>
      <c r="H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</row>
    <row r="1839" spans="1:19" x14ac:dyDescent="0.2">
      <c r="A1839" s="1"/>
      <c r="C1839" s="1"/>
      <c r="G1839" s="1"/>
      <c r="H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</row>
    <row r="1840" spans="1:19" x14ac:dyDescent="0.2">
      <c r="A1840" s="1"/>
      <c r="C1840" s="1"/>
      <c r="G1840" s="1"/>
      <c r="H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</row>
    <row r="1841" spans="1:19" x14ac:dyDescent="0.2">
      <c r="A1841" s="1"/>
      <c r="C1841" s="1"/>
      <c r="G1841" s="1"/>
      <c r="H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</row>
    <row r="1842" spans="1:19" x14ac:dyDescent="0.2">
      <c r="A1842" s="1"/>
      <c r="C1842" s="1"/>
      <c r="G1842" s="1"/>
      <c r="H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</row>
    <row r="1843" spans="1:19" x14ac:dyDescent="0.2">
      <c r="A1843" s="1"/>
      <c r="C1843" s="1"/>
      <c r="G1843" s="1"/>
      <c r="H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</row>
    <row r="1844" spans="1:19" x14ac:dyDescent="0.2">
      <c r="A1844" s="1"/>
      <c r="C1844" s="1"/>
      <c r="G1844" s="1"/>
      <c r="H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</row>
    <row r="1845" spans="1:19" x14ac:dyDescent="0.2">
      <c r="A1845" s="1"/>
      <c r="C1845" s="1"/>
      <c r="G1845" s="1"/>
      <c r="H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</row>
    <row r="1846" spans="1:19" x14ac:dyDescent="0.2">
      <c r="A1846" s="1"/>
      <c r="C1846" s="1"/>
      <c r="G1846" s="1"/>
      <c r="H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</row>
    <row r="1847" spans="1:19" x14ac:dyDescent="0.2">
      <c r="A1847" s="1"/>
      <c r="C1847" s="1"/>
      <c r="G1847" s="1"/>
      <c r="H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</row>
    <row r="1848" spans="1:19" x14ac:dyDescent="0.2">
      <c r="A1848" s="1"/>
      <c r="C1848" s="1"/>
      <c r="G1848" s="1"/>
      <c r="H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</row>
    <row r="1849" spans="1:19" x14ac:dyDescent="0.2">
      <c r="A1849" s="1"/>
      <c r="C1849" s="1"/>
      <c r="G1849" s="1"/>
      <c r="H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</row>
    <row r="1850" spans="1:19" x14ac:dyDescent="0.2">
      <c r="A1850" s="1"/>
      <c r="C1850" s="1"/>
      <c r="G1850" s="1"/>
      <c r="H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</row>
    <row r="1851" spans="1:19" x14ac:dyDescent="0.2">
      <c r="A1851" s="1"/>
      <c r="C1851" s="1"/>
      <c r="G1851" s="1"/>
      <c r="H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</row>
    <row r="1852" spans="1:19" x14ac:dyDescent="0.2">
      <c r="A1852" s="1"/>
      <c r="C1852" s="1"/>
      <c r="G1852" s="1"/>
      <c r="H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</row>
    <row r="1853" spans="1:19" x14ac:dyDescent="0.2">
      <c r="A1853" s="1"/>
      <c r="C1853" s="1"/>
      <c r="G1853" s="1"/>
      <c r="H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</row>
    <row r="1854" spans="1:19" x14ac:dyDescent="0.2">
      <c r="A1854" s="1"/>
      <c r="C1854" s="1"/>
      <c r="G1854" s="1"/>
      <c r="H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</row>
    <row r="1855" spans="1:19" x14ac:dyDescent="0.2">
      <c r="A1855" s="1"/>
      <c r="C1855" s="1"/>
      <c r="G1855" s="1"/>
      <c r="H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</row>
    <row r="1856" spans="1:19" x14ac:dyDescent="0.2">
      <c r="A1856" s="1"/>
      <c r="C1856" s="1"/>
      <c r="G1856" s="1"/>
      <c r="H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</row>
    <row r="1857" spans="1:19" x14ac:dyDescent="0.2">
      <c r="A1857" s="1"/>
      <c r="C1857" s="1"/>
      <c r="G1857" s="1"/>
      <c r="H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</row>
    <row r="1858" spans="1:19" x14ac:dyDescent="0.2">
      <c r="A1858" s="1"/>
      <c r="C1858" s="1"/>
      <c r="G1858" s="1"/>
      <c r="H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</row>
    <row r="1859" spans="1:19" x14ac:dyDescent="0.2">
      <c r="A1859" s="1"/>
      <c r="C1859" s="1"/>
      <c r="G1859" s="1"/>
      <c r="H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</row>
    <row r="1860" spans="1:19" x14ac:dyDescent="0.2">
      <c r="A1860" s="1"/>
      <c r="C1860" s="1"/>
      <c r="G1860" s="1"/>
      <c r="H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</row>
    <row r="1861" spans="1:19" x14ac:dyDescent="0.2">
      <c r="A1861" s="1"/>
      <c r="C1861" s="1"/>
      <c r="G1861" s="1"/>
      <c r="H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</row>
    <row r="1862" spans="1:19" x14ac:dyDescent="0.2">
      <c r="A1862" s="1"/>
      <c r="C1862" s="1"/>
      <c r="G1862" s="1"/>
      <c r="H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</row>
    <row r="1863" spans="1:19" x14ac:dyDescent="0.2">
      <c r="A1863" s="1"/>
      <c r="C1863" s="1"/>
      <c r="G1863" s="1"/>
      <c r="H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</row>
    <row r="1864" spans="1:19" x14ac:dyDescent="0.2">
      <c r="A1864" s="1"/>
      <c r="C1864" s="1"/>
      <c r="G1864" s="1"/>
      <c r="H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</row>
    <row r="1865" spans="1:19" x14ac:dyDescent="0.2">
      <c r="A1865" s="1"/>
      <c r="C1865" s="1"/>
      <c r="G1865" s="1"/>
      <c r="H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</row>
    <row r="1866" spans="1:19" x14ac:dyDescent="0.2">
      <c r="A1866" s="1"/>
      <c r="C1866" s="1"/>
      <c r="G1866" s="1"/>
      <c r="H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</row>
    <row r="1867" spans="1:19" x14ac:dyDescent="0.2">
      <c r="A1867" s="1"/>
      <c r="C1867" s="1"/>
      <c r="G1867" s="1"/>
      <c r="H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</row>
    <row r="1868" spans="1:19" x14ac:dyDescent="0.2">
      <c r="A1868" s="1"/>
      <c r="C1868" s="1"/>
      <c r="G1868" s="1"/>
      <c r="H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</row>
    <row r="1869" spans="1:19" x14ac:dyDescent="0.2">
      <c r="A1869" s="1"/>
      <c r="C1869" s="1"/>
      <c r="G1869" s="1"/>
      <c r="H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</row>
    <row r="1870" spans="1:19" x14ac:dyDescent="0.2">
      <c r="A1870" s="1"/>
      <c r="C1870" s="1"/>
      <c r="G1870" s="1"/>
      <c r="H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</row>
    <row r="1871" spans="1:19" x14ac:dyDescent="0.2">
      <c r="A1871" s="1"/>
      <c r="C1871" s="1"/>
      <c r="G1871" s="1"/>
      <c r="H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</row>
    <row r="1872" spans="1:19" x14ac:dyDescent="0.2">
      <c r="A1872" s="1"/>
      <c r="C1872" s="1"/>
      <c r="G1872" s="1"/>
      <c r="H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</row>
    <row r="1873" spans="1:19" x14ac:dyDescent="0.2">
      <c r="A1873" s="1"/>
      <c r="C1873" s="1"/>
      <c r="G1873" s="1"/>
      <c r="H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</row>
    <row r="1874" spans="1:19" x14ac:dyDescent="0.2">
      <c r="A1874" s="1"/>
      <c r="C1874" s="1"/>
      <c r="G1874" s="1"/>
      <c r="H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</row>
    <row r="1875" spans="1:19" x14ac:dyDescent="0.2">
      <c r="A1875" s="1"/>
      <c r="C1875" s="1"/>
      <c r="G1875" s="1"/>
      <c r="H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</row>
    <row r="1876" spans="1:19" x14ac:dyDescent="0.2">
      <c r="A1876" s="1"/>
      <c r="C1876" s="1"/>
      <c r="G1876" s="1"/>
      <c r="H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</row>
    <row r="1877" spans="1:19" x14ac:dyDescent="0.2">
      <c r="A1877" s="1"/>
      <c r="C1877" s="1"/>
      <c r="G1877" s="1"/>
      <c r="H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</row>
    <row r="1878" spans="1:19" x14ac:dyDescent="0.2">
      <c r="A1878" s="1"/>
      <c r="C1878" s="1"/>
      <c r="G1878" s="1"/>
      <c r="H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</row>
    <row r="1879" spans="1:19" x14ac:dyDescent="0.2">
      <c r="A1879" s="1"/>
      <c r="C1879" s="1"/>
      <c r="G1879" s="1"/>
      <c r="H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</row>
    <row r="1880" spans="1:19" x14ac:dyDescent="0.2">
      <c r="A1880" s="1"/>
      <c r="C1880" s="1"/>
      <c r="G1880" s="1"/>
      <c r="H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</row>
    <row r="1881" spans="1:19" x14ac:dyDescent="0.2">
      <c r="A1881" s="1"/>
      <c r="C1881" s="1"/>
      <c r="G1881" s="1"/>
      <c r="H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</row>
    <row r="1882" spans="1:19" x14ac:dyDescent="0.2">
      <c r="A1882" s="1"/>
      <c r="C1882" s="1"/>
      <c r="G1882" s="1"/>
      <c r="H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</row>
    <row r="1883" spans="1:19" x14ac:dyDescent="0.2">
      <c r="A1883" s="1"/>
      <c r="C1883" s="1"/>
      <c r="G1883" s="1"/>
      <c r="H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</row>
    <row r="1884" spans="1:19" x14ac:dyDescent="0.2">
      <c r="A1884" s="1"/>
      <c r="C1884" s="1"/>
      <c r="G1884" s="1"/>
      <c r="H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</row>
    <row r="1885" spans="1:19" x14ac:dyDescent="0.2">
      <c r="A1885" s="1"/>
      <c r="C1885" s="1"/>
      <c r="G1885" s="1"/>
      <c r="H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</row>
    <row r="1886" spans="1:19" x14ac:dyDescent="0.2">
      <c r="A1886" s="1"/>
      <c r="C1886" s="1"/>
      <c r="G1886" s="1"/>
      <c r="H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</row>
    <row r="1887" spans="1:19" x14ac:dyDescent="0.2">
      <c r="A1887" s="1"/>
      <c r="C1887" s="1"/>
      <c r="G1887" s="1"/>
      <c r="H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</row>
    <row r="1888" spans="1:19" x14ac:dyDescent="0.2">
      <c r="A1888" s="1"/>
      <c r="C1888" s="1"/>
      <c r="G1888" s="1"/>
      <c r="H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</row>
    <row r="1889" spans="1:19" x14ac:dyDescent="0.2">
      <c r="A1889" s="1"/>
      <c r="C1889" s="1"/>
      <c r="G1889" s="1"/>
      <c r="H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</row>
    <row r="1890" spans="1:19" x14ac:dyDescent="0.2">
      <c r="A1890" s="1"/>
      <c r="C1890" s="1"/>
      <c r="G1890" s="1"/>
      <c r="H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</row>
    <row r="1891" spans="1:19" x14ac:dyDescent="0.2">
      <c r="A1891" s="1"/>
      <c r="C1891" s="1"/>
      <c r="G1891" s="1"/>
      <c r="H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</row>
    <row r="1892" spans="1:19" x14ac:dyDescent="0.2">
      <c r="A1892" s="1"/>
      <c r="C1892" s="1"/>
      <c r="G1892" s="1"/>
      <c r="H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</row>
    <row r="1893" spans="1:19" x14ac:dyDescent="0.2">
      <c r="A1893" s="1"/>
      <c r="C1893" s="1"/>
      <c r="G1893" s="1"/>
      <c r="H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</row>
    <row r="1894" spans="1:19" x14ac:dyDescent="0.2">
      <c r="A1894" s="1"/>
      <c r="C1894" s="1"/>
      <c r="G1894" s="1"/>
      <c r="H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</row>
    <row r="1895" spans="1:19" x14ac:dyDescent="0.2">
      <c r="A1895" s="1"/>
      <c r="C1895" s="1"/>
      <c r="G1895" s="1"/>
      <c r="H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</row>
    <row r="1896" spans="1:19" x14ac:dyDescent="0.2">
      <c r="A1896" s="1"/>
      <c r="C1896" s="1"/>
      <c r="G1896" s="1"/>
      <c r="H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</row>
    <row r="1897" spans="1:19" x14ac:dyDescent="0.2">
      <c r="A1897" s="1"/>
      <c r="C1897" s="1"/>
      <c r="G1897" s="1"/>
      <c r="H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</row>
    <row r="1898" spans="1:19" x14ac:dyDescent="0.2">
      <c r="A1898" s="1"/>
      <c r="C1898" s="1"/>
      <c r="G1898" s="1"/>
      <c r="H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</row>
    <row r="1899" spans="1:19" x14ac:dyDescent="0.2">
      <c r="A1899" s="1"/>
      <c r="C1899" s="1"/>
      <c r="G1899" s="1"/>
      <c r="H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</row>
    <row r="1900" spans="1:19" x14ac:dyDescent="0.2">
      <c r="A1900" s="1"/>
      <c r="C1900" s="1"/>
      <c r="G1900" s="1"/>
      <c r="H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</row>
    <row r="1901" spans="1:19" x14ac:dyDescent="0.2">
      <c r="A1901" s="1"/>
      <c r="C1901" s="1"/>
      <c r="G1901" s="1"/>
      <c r="H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</row>
    <row r="1902" spans="1:19" x14ac:dyDescent="0.2">
      <c r="A1902" s="1"/>
      <c r="C1902" s="1"/>
      <c r="G1902" s="1"/>
      <c r="H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</row>
    <row r="1903" spans="1:19" x14ac:dyDescent="0.2">
      <c r="A1903" s="1"/>
      <c r="C1903" s="1"/>
      <c r="G1903" s="1"/>
      <c r="H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</row>
    <row r="1904" spans="1:19" x14ac:dyDescent="0.2">
      <c r="A1904" s="1"/>
      <c r="C1904" s="1"/>
      <c r="G1904" s="1"/>
      <c r="H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</row>
    <row r="1905" spans="1:19" x14ac:dyDescent="0.2">
      <c r="A1905" s="1"/>
      <c r="C1905" s="1"/>
      <c r="G1905" s="1"/>
      <c r="H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</row>
    <row r="1906" spans="1:19" x14ac:dyDescent="0.2">
      <c r="A1906" s="1"/>
      <c r="C1906" s="1"/>
      <c r="G1906" s="1"/>
      <c r="H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</row>
    <row r="1907" spans="1:19" x14ac:dyDescent="0.2">
      <c r="A1907" s="1"/>
      <c r="C1907" s="1"/>
      <c r="G1907" s="1"/>
      <c r="H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</row>
    <row r="1908" spans="1:19" x14ac:dyDescent="0.2">
      <c r="A1908" s="1"/>
      <c r="C1908" s="1"/>
      <c r="G1908" s="1"/>
      <c r="H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</row>
    <row r="1909" spans="1:19" x14ac:dyDescent="0.2">
      <c r="A1909" s="1"/>
      <c r="C1909" s="1"/>
      <c r="G1909" s="1"/>
      <c r="H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</row>
    <row r="1910" spans="1:19" x14ac:dyDescent="0.2">
      <c r="A1910" s="1"/>
      <c r="C1910" s="1"/>
      <c r="G1910" s="1"/>
      <c r="H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</row>
    <row r="1911" spans="1:19" x14ac:dyDescent="0.2">
      <c r="A1911" s="1"/>
      <c r="C1911" s="1"/>
      <c r="G1911" s="1"/>
      <c r="H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</row>
    <row r="1912" spans="1:19" x14ac:dyDescent="0.2">
      <c r="A1912" s="1"/>
      <c r="C1912" s="1"/>
      <c r="G1912" s="1"/>
      <c r="H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</row>
    <row r="1913" spans="1:19" x14ac:dyDescent="0.2">
      <c r="A1913" s="1"/>
      <c r="C1913" s="1"/>
      <c r="G1913" s="1"/>
      <c r="H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</row>
    <row r="1914" spans="1:19" x14ac:dyDescent="0.2">
      <c r="A1914" s="1"/>
      <c r="C1914" s="1"/>
      <c r="G1914" s="1"/>
      <c r="H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</row>
    <row r="1915" spans="1:19" x14ac:dyDescent="0.2">
      <c r="A1915" s="1"/>
      <c r="C1915" s="1"/>
      <c r="G1915" s="1"/>
      <c r="H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</row>
    <row r="1916" spans="1:19" x14ac:dyDescent="0.2">
      <c r="A1916" s="1"/>
      <c r="C1916" s="1"/>
      <c r="G1916" s="1"/>
      <c r="H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</row>
    <row r="1917" spans="1:19" x14ac:dyDescent="0.2">
      <c r="A1917" s="1"/>
      <c r="C1917" s="1"/>
      <c r="G1917" s="1"/>
      <c r="H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</row>
    <row r="1918" spans="1:19" x14ac:dyDescent="0.2">
      <c r="A1918" s="1"/>
      <c r="C1918" s="1"/>
      <c r="G1918" s="1"/>
      <c r="H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</row>
    <row r="1919" spans="1:19" x14ac:dyDescent="0.2">
      <c r="A1919" s="1"/>
      <c r="C1919" s="1"/>
      <c r="G1919" s="1"/>
      <c r="H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</row>
    <row r="1920" spans="1:19" x14ac:dyDescent="0.2">
      <c r="A1920" s="1"/>
      <c r="C1920" s="1"/>
      <c r="G1920" s="1"/>
      <c r="H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</row>
    <row r="1921" spans="1:19" x14ac:dyDescent="0.2">
      <c r="A1921" s="1"/>
      <c r="C1921" s="1"/>
      <c r="G1921" s="1"/>
      <c r="H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</row>
    <row r="1922" spans="1:19" x14ac:dyDescent="0.2">
      <c r="A1922" s="1"/>
      <c r="C1922" s="1"/>
      <c r="G1922" s="1"/>
      <c r="H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</row>
    <row r="1923" spans="1:19" x14ac:dyDescent="0.2">
      <c r="A1923" s="1"/>
      <c r="C1923" s="1"/>
      <c r="G1923" s="1"/>
      <c r="H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</row>
    <row r="1924" spans="1:19" x14ac:dyDescent="0.2">
      <c r="A1924" s="1"/>
      <c r="C1924" s="1"/>
      <c r="G1924" s="1"/>
      <c r="H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</row>
    <row r="1925" spans="1:19" x14ac:dyDescent="0.2">
      <c r="A1925" s="1"/>
      <c r="C1925" s="1"/>
      <c r="G1925" s="1"/>
      <c r="H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</row>
    <row r="1926" spans="1:19" x14ac:dyDescent="0.2">
      <c r="A1926" s="1"/>
      <c r="C1926" s="1"/>
      <c r="G1926" s="1"/>
      <c r="H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</row>
    <row r="1927" spans="1:19" x14ac:dyDescent="0.2">
      <c r="A1927" s="1"/>
      <c r="C1927" s="1"/>
      <c r="G1927" s="1"/>
      <c r="H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</row>
    <row r="1928" spans="1:19" x14ac:dyDescent="0.2">
      <c r="A1928" s="1"/>
      <c r="C1928" s="1"/>
      <c r="G1928" s="1"/>
      <c r="H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</row>
    <row r="1929" spans="1:19" x14ac:dyDescent="0.2">
      <c r="A1929" s="1"/>
      <c r="C1929" s="1"/>
      <c r="G1929" s="1"/>
      <c r="H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</row>
    <row r="1930" spans="1:19" x14ac:dyDescent="0.2">
      <c r="A1930" s="1"/>
      <c r="C1930" s="1"/>
      <c r="G1930" s="1"/>
      <c r="H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</row>
    <row r="1931" spans="1:19" x14ac:dyDescent="0.2">
      <c r="A1931" s="1"/>
      <c r="C1931" s="1"/>
      <c r="G1931" s="1"/>
      <c r="H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</row>
    <row r="1932" spans="1:19" x14ac:dyDescent="0.2">
      <c r="A1932" s="1"/>
      <c r="C1932" s="1"/>
      <c r="G1932" s="1"/>
      <c r="H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</row>
    <row r="1933" spans="1:19" x14ac:dyDescent="0.2">
      <c r="A1933" s="1"/>
      <c r="C1933" s="1"/>
      <c r="G1933" s="1"/>
      <c r="H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</row>
    <row r="1934" spans="1:19" x14ac:dyDescent="0.2">
      <c r="A1934" s="1"/>
      <c r="C1934" s="1"/>
      <c r="G1934" s="1"/>
      <c r="H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</row>
    <row r="1935" spans="1:19" x14ac:dyDescent="0.2">
      <c r="A1935" s="1"/>
      <c r="C1935" s="1"/>
      <c r="G1935" s="1"/>
      <c r="H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</row>
    <row r="1936" spans="1:19" x14ac:dyDescent="0.2">
      <c r="A1936" s="1"/>
      <c r="C1936" s="1"/>
      <c r="G1936" s="1"/>
      <c r="H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</row>
    <row r="1937" spans="1:19" x14ac:dyDescent="0.2">
      <c r="A1937" s="1"/>
      <c r="C1937" s="1"/>
      <c r="G1937" s="1"/>
      <c r="H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</row>
    <row r="1938" spans="1:19" x14ac:dyDescent="0.2">
      <c r="A1938" s="1"/>
      <c r="C1938" s="1"/>
      <c r="G1938" s="1"/>
      <c r="H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</row>
    <row r="1939" spans="1:19" x14ac:dyDescent="0.2">
      <c r="A1939" s="1"/>
      <c r="C1939" s="1"/>
      <c r="G1939" s="1"/>
      <c r="H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</row>
    <row r="1940" spans="1:19" x14ac:dyDescent="0.2">
      <c r="A1940" s="1"/>
      <c r="C1940" s="1"/>
      <c r="G1940" s="1"/>
      <c r="H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</row>
    <row r="1941" spans="1:19" x14ac:dyDescent="0.2">
      <c r="A1941" s="1"/>
      <c r="C1941" s="1"/>
      <c r="G1941" s="1"/>
      <c r="H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</row>
    <row r="1942" spans="1:19" x14ac:dyDescent="0.2">
      <c r="A1942" s="1"/>
      <c r="C1942" s="1"/>
      <c r="G1942" s="1"/>
      <c r="H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</row>
    <row r="1943" spans="1:19" x14ac:dyDescent="0.2">
      <c r="A1943" s="1"/>
      <c r="C1943" s="1"/>
      <c r="G1943" s="1"/>
      <c r="H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</row>
    <row r="1944" spans="1:19" x14ac:dyDescent="0.2">
      <c r="A1944" s="1"/>
      <c r="C1944" s="1"/>
      <c r="G1944" s="1"/>
      <c r="H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</row>
    <row r="1945" spans="1:19" x14ac:dyDescent="0.2">
      <c r="A1945" s="1"/>
      <c r="C1945" s="1"/>
      <c r="G1945" s="1"/>
      <c r="H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</row>
    <row r="1946" spans="1:19" x14ac:dyDescent="0.2">
      <c r="A1946" s="1"/>
      <c r="C1946" s="1"/>
      <c r="G1946" s="1"/>
      <c r="H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</row>
    <row r="1947" spans="1:19" x14ac:dyDescent="0.2">
      <c r="A1947" s="1"/>
      <c r="C1947" s="1"/>
      <c r="G1947" s="1"/>
      <c r="H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</row>
    <row r="1948" spans="1:19" x14ac:dyDescent="0.2">
      <c r="A1948" s="1"/>
      <c r="C1948" s="1"/>
      <c r="G1948" s="1"/>
      <c r="H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</row>
    <row r="1949" spans="1:19" x14ac:dyDescent="0.2">
      <c r="A1949" s="1"/>
      <c r="C1949" s="1"/>
      <c r="G1949" s="1"/>
      <c r="H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</row>
    <row r="1950" spans="1:19" x14ac:dyDescent="0.2">
      <c r="A1950" s="1"/>
      <c r="C1950" s="1"/>
      <c r="G1950" s="1"/>
      <c r="H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</row>
    <row r="1951" spans="1:19" x14ac:dyDescent="0.2">
      <c r="A1951" s="1"/>
      <c r="C1951" s="1"/>
      <c r="G1951" s="1"/>
      <c r="H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</row>
    <row r="1952" spans="1:19" x14ac:dyDescent="0.2">
      <c r="A1952" s="1"/>
      <c r="C1952" s="1"/>
      <c r="G1952" s="1"/>
      <c r="H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</row>
    <row r="1953" spans="1:19" x14ac:dyDescent="0.2">
      <c r="A1953" s="1"/>
      <c r="C1953" s="1"/>
      <c r="G1953" s="1"/>
      <c r="H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</row>
    <row r="1954" spans="1:19" x14ac:dyDescent="0.2">
      <c r="A1954" s="1"/>
      <c r="C1954" s="1"/>
      <c r="G1954" s="1"/>
      <c r="H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</row>
    <row r="1955" spans="1:19" x14ac:dyDescent="0.2">
      <c r="A1955" s="1"/>
      <c r="C1955" s="1"/>
      <c r="G1955" s="1"/>
      <c r="H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</row>
    <row r="1956" spans="1:19" x14ac:dyDescent="0.2">
      <c r="A1956" s="1"/>
      <c r="C1956" s="1"/>
      <c r="G1956" s="1"/>
      <c r="H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</row>
    <row r="1957" spans="1:19" x14ac:dyDescent="0.2">
      <c r="A1957" s="1"/>
      <c r="C1957" s="1"/>
      <c r="G1957" s="1"/>
      <c r="H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</row>
    <row r="1958" spans="1:19" x14ac:dyDescent="0.2">
      <c r="A1958" s="1"/>
      <c r="C1958" s="1"/>
      <c r="G1958" s="1"/>
      <c r="H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</row>
    <row r="1959" spans="1:19" x14ac:dyDescent="0.2">
      <c r="A1959" s="1"/>
      <c r="C1959" s="1"/>
      <c r="G1959" s="1"/>
      <c r="H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</row>
    <row r="1960" spans="1:19" x14ac:dyDescent="0.2">
      <c r="A1960" s="1"/>
      <c r="C1960" s="1"/>
      <c r="G1960" s="1"/>
      <c r="H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</row>
    <row r="1961" spans="1:19" x14ac:dyDescent="0.2">
      <c r="A1961" s="1"/>
      <c r="C1961" s="1"/>
      <c r="G1961" s="1"/>
      <c r="H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</row>
    <row r="1962" spans="1:19" x14ac:dyDescent="0.2">
      <c r="A1962" s="1"/>
      <c r="C1962" s="1"/>
      <c r="G1962" s="1"/>
      <c r="H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</row>
    <row r="1963" spans="1:19" x14ac:dyDescent="0.2">
      <c r="A1963" s="1"/>
      <c r="C1963" s="1"/>
      <c r="G1963" s="1"/>
      <c r="H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</row>
    <row r="1964" spans="1:19" x14ac:dyDescent="0.2">
      <c r="A1964" s="1"/>
      <c r="C1964" s="1"/>
      <c r="G1964" s="1"/>
      <c r="H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</row>
    <row r="1965" spans="1:19" x14ac:dyDescent="0.2">
      <c r="A1965" s="1"/>
      <c r="C1965" s="1"/>
      <c r="G1965" s="1"/>
      <c r="H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</row>
    <row r="1966" spans="1:19" x14ac:dyDescent="0.2">
      <c r="A1966" s="1"/>
      <c r="C1966" s="1"/>
      <c r="G1966" s="1"/>
      <c r="H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</row>
    <row r="1967" spans="1:19" x14ac:dyDescent="0.2">
      <c r="A1967" s="1"/>
      <c r="C1967" s="1"/>
      <c r="G1967" s="1"/>
      <c r="H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</row>
    <row r="1968" spans="1:19" x14ac:dyDescent="0.2">
      <c r="A1968" s="1"/>
      <c r="C1968" s="1"/>
      <c r="G1968" s="1"/>
      <c r="H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</row>
    <row r="1969" spans="1:19" x14ac:dyDescent="0.2">
      <c r="A1969" s="1"/>
      <c r="C1969" s="1"/>
      <c r="G1969" s="1"/>
      <c r="H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</row>
    <row r="1970" spans="1:19" x14ac:dyDescent="0.2">
      <c r="A1970" s="1"/>
      <c r="C1970" s="1"/>
      <c r="G1970" s="1"/>
      <c r="H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</row>
    <row r="1971" spans="1:19" x14ac:dyDescent="0.2">
      <c r="A1971" s="1"/>
      <c r="C1971" s="1"/>
      <c r="G1971" s="1"/>
      <c r="H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</row>
    <row r="1972" spans="1:19" x14ac:dyDescent="0.2">
      <c r="A1972" s="1"/>
      <c r="C1972" s="1"/>
      <c r="G1972" s="1"/>
      <c r="H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</row>
    <row r="1973" spans="1:19" x14ac:dyDescent="0.2">
      <c r="A1973" s="1"/>
      <c r="C1973" s="1"/>
      <c r="G1973" s="1"/>
      <c r="H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</row>
    <row r="1974" spans="1:19" x14ac:dyDescent="0.2">
      <c r="A1974" s="1"/>
      <c r="C1974" s="1"/>
      <c r="G1974" s="1"/>
      <c r="H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</row>
    <row r="1975" spans="1:19" x14ac:dyDescent="0.2">
      <c r="A1975" s="1"/>
      <c r="C1975" s="1"/>
      <c r="G1975" s="1"/>
      <c r="H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</row>
    <row r="1976" spans="1:19" x14ac:dyDescent="0.2">
      <c r="A1976" s="1"/>
      <c r="C1976" s="1"/>
      <c r="G1976" s="1"/>
      <c r="H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</row>
    <row r="1977" spans="1:19" x14ac:dyDescent="0.2">
      <c r="A1977" s="1"/>
      <c r="C1977" s="1"/>
      <c r="G1977" s="1"/>
      <c r="H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</row>
    <row r="1978" spans="1:19" x14ac:dyDescent="0.2">
      <c r="A1978" s="1"/>
      <c r="C1978" s="1"/>
      <c r="G1978" s="1"/>
      <c r="H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</row>
    <row r="1979" spans="1:19" x14ac:dyDescent="0.2">
      <c r="A1979" s="1"/>
      <c r="C1979" s="1"/>
      <c r="G1979" s="1"/>
      <c r="H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</row>
    <row r="1980" spans="1:19" x14ac:dyDescent="0.2">
      <c r="A1980" s="1"/>
      <c r="C1980" s="1"/>
      <c r="G1980" s="1"/>
      <c r="H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</row>
    <row r="1981" spans="1:19" x14ac:dyDescent="0.2">
      <c r="A1981" s="1"/>
      <c r="C1981" s="1"/>
      <c r="G1981" s="1"/>
      <c r="H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</row>
    <row r="1982" spans="1:19" x14ac:dyDescent="0.2">
      <c r="A1982" s="1"/>
      <c r="C1982" s="1"/>
      <c r="G1982" s="1"/>
      <c r="H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</row>
    <row r="1983" spans="1:19" x14ac:dyDescent="0.2">
      <c r="A1983" s="1"/>
      <c r="C1983" s="1"/>
      <c r="G1983" s="1"/>
      <c r="H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</row>
    <row r="1984" spans="1:19" x14ac:dyDescent="0.2">
      <c r="A1984" s="1"/>
      <c r="C1984" s="1"/>
      <c r="G1984" s="1"/>
      <c r="H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</row>
    <row r="1985" spans="1:19" x14ac:dyDescent="0.2">
      <c r="A1985" s="1"/>
      <c r="C1985" s="1"/>
      <c r="G1985" s="1"/>
      <c r="H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</row>
    <row r="1986" spans="1:19" x14ac:dyDescent="0.2">
      <c r="A1986" s="1"/>
      <c r="C1986" s="1"/>
      <c r="G1986" s="1"/>
      <c r="H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</row>
    <row r="1987" spans="1:19" x14ac:dyDescent="0.2">
      <c r="A1987" s="1"/>
      <c r="C1987" s="1"/>
      <c r="G1987" s="1"/>
      <c r="H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</row>
    <row r="1988" spans="1:19" x14ac:dyDescent="0.2">
      <c r="A1988" s="1"/>
      <c r="C1988" s="1"/>
      <c r="G1988" s="1"/>
      <c r="H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</row>
    <row r="1989" spans="1:19" x14ac:dyDescent="0.2">
      <c r="A1989" s="1"/>
      <c r="C1989" s="1"/>
      <c r="G1989" s="1"/>
      <c r="H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</row>
    <row r="1990" spans="1:19" x14ac:dyDescent="0.2">
      <c r="A1990" s="1"/>
      <c r="C1990" s="1"/>
      <c r="G1990" s="1"/>
      <c r="H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</row>
    <row r="1991" spans="1:19" x14ac:dyDescent="0.2">
      <c r="A1991" s="1"/>
      <c r="C1991" s="1"/>
      <c r="G1991" s="1"/>
      <c r="H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</row>
    <row r="1992" spans="1:19" x14ac:dyDescent="0.2">
      <c r="A1992" s="1"/>
      <c r="C1992" s="1"/>
      <c r="G1992" s="1"/>
      <c r="H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</row>
    <row r="1993" spans="1:19" x14ac:dyDescent="0.2">
      <c r="A1993" s="1"/>
      <c r="C1993" s="1"/>
      <c r="G1993" s="1"/>
      <c r="H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</row>
    <row r="1994" spans="1:19" x14ac:dyDescent="0.2">
      <c r="A1994" s="1"/>
      <c r="C1994" s="1"/>
      <c r="G1994" s="1"/>
      <c r="H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</row>
    <row r="1995" spans="1:19" x14ac:dyDescent="0.2">
      <c r="A1995" s="1"/>
      <c r="C1995" s="1"/>
      <c r="G1995" s="1"/>
      <c r="H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</row>
    <row r="1996" spans="1:19" x14ac:dyDescent="0.2">
      <c r="A1996" s="1"/>
      <c r="C1996" s="1"/>
      <c r="G1996" s="1"/>
      <c r="H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</row>
    <row r="1997" spans="1:19" x14ac:dyDescent="0.2">
      <c r="A1997" s="1"/>
      <c r="C1997" s="1"/>
      <c r="G1997" s="1"/>
      <c r="H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</row>
    <row r="1998" spans="1:19" x14ac:dyDescent="0.2">
      <c r="A1998" s="1"/>
      <c r="C1998" s="1"/>
      <c r="G1998" s="1"/>
      <c r="H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</row>
    <row r="1999" spans="1:19" x14ac:dyDescent="0.2">
      <c r="A1999" s="1"/>
      <c r="C1999" s="1"/>
      <c r="G1999" s="1"/>
      <c r="H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</row>
    <row r="2000" spans="1:19" x14ac:dyDescent="0.2">
      <c r="A2000" s="1"/>
      <c r="C2000" s="1"/>
      <c r="G2000" s="1"/>
      <c r="H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</row>
    <row r="2001" spans="1:19" x14ac:dyDescent="0.2">
      <c r="A2001" s="1"/>
      <c r="C2001" s="1"/>
      <c r="G2001" s="1"/>
      <c r="H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</row>
    <row r="2002" spans="1:19" x14ac:dyDescent="0.2">
      <c r="A2002" s="1"/>
      <c r="C2002" s="1"/>
      <c r="G2002" s="1"/>
      <c r="H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</row>
    <row r="2003" spans="1:19" x14ac:dyDescent="0.2">
      <c r="A2003" s="1"/>
      <c r="C2003" s="1"/>
      <c r="G2003" s="1"/>
      <c r="H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</row>
    <row r="2004" spans="1:19" x14ac:dyDescent="0.2">
      <c r="A2004" s="1"/>
      <c r="C2004" s="1"/>
      <c r="G2004" s="1"/>
      <c r="H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</row>
    <row r="2005" spans="1:19" x14ac:dyDescent="0.2">
      <c r="A2005" s="1"/>
      <c r="C2005" s="1"/>
      <c r="G2005" s="1"/>
      <c r="H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</row>
    <row r="2006" spans="1:19" x14ac:dyDescent="0.2">
      <c r="A2006" s="1"/>
      <c r="C2006" s="1"/>
      <c r="G2006" s="1"/>
      <c r="H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</row>
    <row r="2007" spans="1:19" x14ac:dyDescent="0.2">
      <c r="A2007" s="1"/>
      <c r="C2007" s="1"/>
      <c r="G2007" s="1"/>
      <c r="H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</row>
    <row r="2008" spans="1:19" x14ac:dyDescent="0.2">
      <c r="A2008" s="1"/>
      <c r="C2008" s="1"/>
      <c r="G2008" s="1"/>
      <c r="H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</row>
    <row r="2009" spans="1:19" x14ac:dyDescent="0.2">
      <c r="A2009" s="1"/>
      <c r="C2009" s="1"/>
      <c r="G2009" s="1"/>
      <c r="H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</row>
    <row r="2010" spans="1:19" x14ac:dyDescent="0.2">
      <c r="A2010" s="1"/>
      <c r="C2010" s="1"/>
      <c r="G2010" s="1"/>
      <c r="H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</row>
    <row r="2011" spans="1:19" x14ac:dyDescent="0.2">
      <c r="A2011" s="1"/>
      <c r="C2011" s="1"/>
      <c r="G2011" s="1"/>
      <c r="H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</row>
    <row r="2012" spans="1:19" x14ac:dyDescent="0.2">
      <c r="A2012" s="1"/>
      <c r="C2012" s="1"/>
      <c r="G2012" s="1"/>
      <c r="H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</row>
    <row r="2013" spans="1:19" x14ac:dyDescent="0.2">
      <c r="A2013" s="1"/>
      <c r="C2013" s="1"/>
      <c r="G2013" s="1"/>
      <c r="H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</row>
    <row r="2014" spans="1:19" x14ac:dyDescent="0.2">
      <c r="A2014" s="1"/>
      <c r="C2014" s="1"/>
      <c r="G2014" s="1"/>
      <c r="H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</row>
    <row r="2015" spans="1:19" x14ac:dyDescent="0.2">
      <c r="A2015" s="1"/>
      <c r="C2015" s="1"/>
      <c r="G2015" s="1"/>
      <c r="H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</row>
    <row r="2016" spans="1:19" x14ac:dyDescent="0.2">
      <c r="A2016" s="1"/>
      <c r="C2016" s="1"/>
      <c r="G2016" s="1"/>
      <c r="H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</row>
    <row r="2017" spans="1:19" x14ac:dyDescent="0.2">
      <c r="A2017" s="1"/>
      <c r="C2017" s="1"/>
      <c r="G2017" s="1"/>
      <c r="H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</row>
    <row r="2018" spans="1:19" x14ac:dyDescent="0.2">
      <c r="A2018" s="1"/>
      <c r="C2018" s="1"/>
      <c r="G2018" s="1"/>
      <c r="H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</row>
    <row r="2019" spans="1:19" x14ac:dyDescent="0.2">
      <c r="A2019" s="1"/>
      <c r="C2019" s="1"/>
      <c r="G2019" s="1"/>
      <c r="H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</row>
    <row r="2020" spans="1:19" x14ac:dyDescent="0.2">
      <c r="A2020" s="1"/>
      <c r="C2020" s="1"/>
      <c r="G2020" s="1"/>
      <c r="H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</row>
    <row r="2021" spans="1:19" x14ac:dyDescent="0.2">
      <c r="A2021" s="1"/>
      <c r="C2021" s="1"/>
      <c r="G2021" s="1"/>
      <c r="H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</row>
    <row r="2022" spans="1:19" x14ac:dyDescent="0.2">
      <c r="A2022" s="1"/>
      <c r="C2022" s="1"/>
      <c r="G2022" s="1"/>
      <c r="H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</row>
    <row r="2023" spans="1:19" x14ac:dyDescent="0.2">
      <c r="A2023" s="1"/>
      <c r="C2023" s="1"/>
      <c r="G2023" s="1"/>
      <c r="H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</row>
    <row r="2024" spans="1:19" x14ac:dyDescent="0.2">
      <c r="A2024" s="1"/>
      <c r="C2024" s="1"/>
      <c r="G2024" s="1"/>
      <c r="H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</row>
    <row r="2025" spans="1:19" x14ac:dyDescent="0.2">
      <c r="A2025" s="1"/>
      <c r="C2025" s="1"/>
      <c r="G2025" s="1"/>
      <c r="H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</row>
    <row r="2026" spans="1:19" x14ac:dyDescent="0.2">
      <c r="A2026" s="1"/>
      <c r="C2026" s="1"/>
      <c r="G2026" s="1"/>
      <c r="H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</row>
    <row r="2027" spans="1:19" x14ac:dyDescent="0.2">
      <c r="A2027" s="1"/>
      <c r="C2027" s="1"/>
      <c r="G2027" s="1"/>
      <c r="H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</row>
    <row r="2028" spans="1:19" x14ac:dyDescent="0.2">
      <c r="A2028" s="1"/>
      <c r="C2028" s="1"/>
      <c r="G2028" s="1"/>
      <c r="H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</row>
    <row r="2029" spans="1:19" x14ac:dyDescent="0.2">
      <c r="A2029" s="1"/>
      <c r="C2029" s="1"/>
      <c r="G2029" s="1"/>
      <c r="H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</row>
    <row r="2030" spans="1:19" x14ac:dyDescent="0.2">
      <c r="A2030" s="1"/>
      <c r="C2030" s="1"/>
      <c r="G2030" s="1"/>
      <c r="H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</row>
    <row r="2031" spans="1:19" x14ac:dyDescent="0.2">
      <c r="A2031" s="1"/>
      <c r="C2031" s="1"/>
      <c r="G2031" s="1"/>
      <c r="H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</row>
    <row r="2032" spans="1:19" x14ac:dyDescent="0.2">
      <c r="A2032" s="1"/>
      <c r="C2032" s="1"/>
      <c r="G2032" s="1"/>
      <c r="H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</row>
    <row r="2033" spans="1:19" x14ac:dyDescent="0.2">
      <c r="A2033" s="1"/>
      <c r="C2033" s="1"/>
      <c r="G2033" s="1"/>
      <c r="H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</row>
    <row r="2034" spans="1:19" x14ac:dyDescent="0.2">
      <c r="A2034" s="1"/>
      <c r="C2034" s="1"/>
      <c r="G2034" s="1"/>
      <c r="H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</row>
    <row r="2035" spans="1:19" x14ac:dyDescent="0.2">
      <c r="A2035" s="1"/>
      <c r="C2035" s="1"/>
      <c r="G2035" s="1"/>
      <c r="H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</row>
    <row r="2036" spans="1:19" x14ac:dyDescent="0.2">
      <c r="A2036" s="1"/>
      <c r="C2036" s="1"/>
      <c r="G2036" s="1"/>
      <c r="H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</row>
    <row r="2037" spans="1:19" x14ac:dyDescent="0.2">
      <c r="A2037" s="1"/>
      <c r="C2037" s="1"/>
      <c r="G2037" s="1"/>
      <c r="H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</row>
    <row r="2038" spans="1:19" x14ac:dyDescent="0.2">
      <c r="A2038" s="1"/>
      <c r="C2038" s="1"/>
      <c r="G2038" s="1"/>
      <c r="H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</row>
    <row r="2039" spans="1:19" x14ac:dyDescent="0.2">
      <c r="A2039" s="1"/>
      <c r="C2039" s="1"/>
      <c r="G2039" s="1"/>
      <c r="H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</row>
    <row r="2040" spans="1:19" x14ac:dyDescent="0.2">
      <c r="A2040" s="1"/>
      <c r="C2040" s="1"/>
      <c r="G2040" s="1"/>
      <c r="H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</row>
    <row r="2041" spans="1:19" x14ac:dyDescent="0.2">
      <c r="A2041" s="1"/>
      <c r="C2041" s="1"/>
      <c r="G2041" s="1"/>
      <c r="H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</row>
    <row r="2042" spans="1:19" x14ac:dyDescent="0.2">
      <c r="A2042" s="1"/>
      <c r="C2042" s="1"/>
      <c r="G2042" s="1"/>
      <c r="H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</row>
    <row r="2043" spans="1:19" x14ac:dyDescent="0.2">
      <c r="A2043" s="1"/>
      <c r="C2043" s="1"/>
      <c r="G2043" s="1"/>
      <c r="H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</row>
    <row r="2044" spans="1:19" x14ac:dyDescent="0.2">
      <c r="A2044" s="1"/>
      <c r="C2044" s="1"/>
      <c r="G2044" s="1"/>
      <c r="H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</row>
    <row r="2045" spans="1:19" x14ac:dyDescent="0.2">
      <c r="A2045" s="1"/>
      <c r="C2045" s="1"/>
      <c r="G2045" s="1"/>
      <c r="H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</row>
    <row r="2046" spans="1:19" x14ac:dyDescent="0.2">
      <c r="A2046" s="1"/>
      <c r="C2046" s="1"/>
      <c r="G2046" s="1"/>
      <c r="H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</row>
    <row r="2047" spans="1:19" x14ac:dyDescent="0.2">
      <c r="A2047" s="1"/>
      <c r="C2047" s="1"/>
      <c r="G2047" s="1"/>
      <c r="H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</row>
    <row r="2048" spans="1:19" x14ac:dyDescent="0.2">
      <c r="A2048" s="1"/>
      <c r="C2048" s="1"/>
      <c r="G2048" s="1"/>
      <c r="H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</row>
    <row r="2049" spans="1:19" x14ac:dyDescent="0.2">
      <c r="A2049" s="1"/>
      <c r="C2049" s="1"/>
      <c r="G2049" s="1"/>
      <c r="H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</row>
    <row r="2050" spans="1:19" x14ac:dyDescent="0.2">
      <c r="A2050" s="1"/>
      <c r="C2050" s="1"/>
      <c r="G2050" s="1"/>
      <c r="H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</row>
    <row r="2051" spans="1:19" x14ac:dyDescent="0.2">
      <c r="A2051" s="1"/>
      <c r="C2051" s="1"/>
      <c r="G2051" s="1"/>
      <c r="H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</row>
    <row r="2052" spans="1:19" x14ac:dyDescent="0.2">
      <c r="A2052" s="1"/>
      <c r="C2052" s="1"/>
      <c r="G2052" s="1"/>
      <c r="H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</row>
    <row r="2053" spans="1:19" x14ac:dyDescent="0.2">
      <c r="A2053" s="1"/>
      <c r="C2053" s="1"/>
      <c r="G2053" s="1"/>
      <c r="H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</row>
    <row r="2054" spans="1:19" x14ac:dyDescent="0.2">
      <c r="A2054" s="1"/>
      <c r="C2054" s="1"/>
      <c r="G2054" s="1"/>
      <c r="H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</row>
    <row r="2055" spans="1:19" x14ac:dyDescent="0.2">
      <c r="A2055" s="1"/>
      <c r="C2055" s="1"/>
      <c r="G2055" s="1"/>
      <c r="H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</row>
    <row r="2056" spans="1:19" x14ac:dyDescent="0.2">
      <c r="A2056" s="1"/>
      <c r="C2056" s="1"/>
      <c r="G2056" s="1"/>
      <c r="H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</row>
    <row r="2057" spans="1:19" x14ac:dyDescent="0.2">
      <c r="A2057" s="1"/>
      <c r="C2057" s="1"/>
      <c r="G2057" s="1"/>
      <c r="H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</row>
    <row r="2058" spans="1:19" x14ac:dyDescent="0.2">
      <c r="A2058" s="1"/>
      <c r="C2058" s="1"/>
      <c r="G2058" s="1"/>
      <c r="H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</row>
    <row r="2059" spans="1:19" x14ac:dyDescent="0.2">
      <c r="A2059" s="1"/>
      <c r="C2059" s="1"/>
      <c r="G2059" s="1"/>
      <c r="H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</row>
    <row r="2060" spans="1:19" x14ac:dyDescent="0.2">
      <c r="A2060" s="1"/>
      <c r="C2060" s="1"/>
      <c r="G2060" s="1"/>
      <c r="H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</row>
    <row r="2061" spans="1:19" x14ac:dyDescent="0.2">
      <c r="A2061" s="1"/>
      <c r="C2061" s="1"/>
      <c r="G2061" s="1"/>
      <c r="H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</row>
    <row r="2062" spans="1:19" x14ac:dyDescent="0.2">
      <c r="A2062" s="1"/>
      <c r="C2062" s="1"/>
      <c r="G2062" s="1"/>
      <c r="H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</row>
    <row r="2063" spans="1:19" x14ac:dyDescent="0.2">
      <c r="A2063" s="1"/>
      <c r="C2063" s="1"/>
      <c r="G2063" s="1"/>
      <c r="H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</row>
    <row r="2064" spans="1:19" x14ac:dyDescent="0.2">
      <c r="A2064" s="1"/>
      <c r="C2064" s="1"/>
      <c r="G2064" s="1"/>
      <c r="H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</row>
    <row r="2065" spans="1:19" x14ac:dyDescent="0.2">
      <c r="A2065" s="1"/>
      <c r="C2065" s="1"/>
      <c r="G2065" s="1"/>
      <c r="H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</row>
    <row r="2066" spans="1:19" x14ac:dyDescent="0.2">
      <c r="A2066" s="1"/>
      <c r="C2066" s="1"/>
      <c r="G2066" s="1"/>
      <c r="H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</row>
    <row r="2067" spans="1:19" x14ac:dyDescent="0.2">
      <c r="A2067" s="1"/>
      <c r="C2067" s="1"/>
      <c r="G2067" s="1"/>
      <c r="H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</row>
    <row r="2068" spans="1:19" x14ac:dyDescent="0.2">
      <c r="A2068" s="1"/>
      <c r="C2068" s="1"/>
      <c r="G2068" s="1"/>
      <c r="H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</row>
    <row r="2069" spans="1:19" x14ac:dyDescent="0.2">
      <c r="A2069" s="1"/>
      <c r="C2069" s="1"/>
      <c r="G2069" s="1"/>
      <c r="H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</row>
    <row r="2070" spans="1:19" x14ac:dyDescent="0.2">
      <c r="A2070" s="1"/>
      <c r="C2070" s="1"/>
      <c r="G2070" s="1"/>
      <c r="H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</row>
    <row r="2071" spans="1:19" x14ac:dyDescent="0.2">
      <c r="A2071" s="1"/>
      <c r="C2071" s="1"/>
      <c r="G2071" s="1"/>
      <c r="H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</row>
    <row r="2072" spans="1:19" x14ac:dyDescent="0.2">
      <c r="A2072" s="1"/>
      <c r="C2072" s="1"/>
      <c r="G2072" s="1"/>
      <c r="H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</row>
    <row r="2073" spans="1:19" x14ac:dyDescent="0.2">
      <c r="A2073" s="1"/>
      <c r="C2073" s="1"/>
      <c r="G2073" s="1"/>
      <c r="H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</row>
    <row r="2074" spans="1:19" x14ac:dyDescent="0.2">
      <c r="A2074" s="1"/>
      <c r="C2074" s="1"/>
      <c r="G2074" s="1"/>
      <c r="H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</row>
    <row r="2075" spans="1:19" x14ac:dyDescent="0.2">
      <c r="A2075" s="1"/>
      <c r="C2075" s="1"/>
      <c r="G2075" s="1"/>
      <c r="H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</row>
    <row r="2076" spans="1:19" x14ac:dyDescent="0.2">
      <c r="A2076" s="1"/>
      <c r="C2076" s="1"/>
      <c r="G2076" s="1"/>
      <c r="H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</row>
    <row r="2077" spans="1:19" x14ac:dyDescent="0.2">
      <c r="A2077" s="1"/>
      <c r="C2077" s="1"/>
      <c r="G2077" s="1"/>
      <c r="H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</row>
    <row r="2078" spans="1:19" x14ac:dyDescent="0.2">
      <c r="A2078" s="1"/>
      <c r="C2078" s="1"/>
      <c r="G2078" s="1"/>
      <c r="H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</row>
    <row r="2079" spans="1:19" x14ac:dyDescent="0.2">
      <c r="A2079" s="1"/>
      <c r="C2079" s="1"/>
      <c r="G2079" s="1"/>
      <c r="H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</row>
    <row r="2080" spans="1:19" x14ac:dyDescent="0.2">
      <c r="A2080" s="1"/>
      <c r="C2080" s="1"/>
      <c r="G2080" s="1"/>
      <c r="H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</row>
    <row r="2081" spans="1:19" x14ac:dyDescent="0.2">
      <c r="A2081" s="1"/>
      <c r="C2081" s="1"/>
      <c r="G2081" s="1"/>
      <c r="H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</row>
    <row r="2082" spans="1:19" x14ac:dyDescent="0.2">
      <c r="A2082" s="1"/>
      <c r="C2082" s="1"/>
      <c r="G2082" s="1"/>
      <c r="H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</row>
    <row r="2083" spans="1:19" x14ac:dyDescent="0.2">
      <c r="A2083" s="1"/>
      <c r="C2083" s="1"/>
      <c r="G2083" s="1"/>
      <c r="H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</row>
    <row r="2084" spans="1:19" x14ac:dyDescent="0.2">
      <c r="A2084" s="1"/>
      <c r="C2084" s="1"/>
      <c r="G2084" s="1"/>
      <c r="H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</row>
    <row r="2085" spans="1:19" x14ac:dyDescent="0.2">
      <c r="A2085" s="1"/>
      <c r="C2085" s="1"/>
      <c r="G2085" s="1"/>
      <c r="H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</row>
    <row r="2086" spans="1:19" x14ac:dyDescent="0.2">
      <c r="A2086" s="1"/>
      <c r="C2086" s="1"/>
      <c r="G2086" s="1"/>
      <c r="H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</row>
    <row r="2087" spans="1:19" x14ac:dyDescent="0.2">
      <c r="A2087" s="1"/>
      <c r="C2087" s="1"/>
      <c r="G2087" s="1"/>
      <c r="H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</row>
    <row r="2088" spans="1:19" x14ac:dyDescent="0.2">
      <c r="A2088" s="1"/>
      <c r="C2088" s="1"/>
      <c r="G2088" s="1"/>
      <c r="H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</row>
    <row r="2089" spans="1:19" x14ac:dyDescent="0.2">
      <c r="A2089" s="1"/>
      <c r="C2089" s="1"/>
      <c r="G2089" s="1"/>
      <c r="H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</row>
    <row r="2090" spans="1:19" x14ac:dyDescent="0.2">
      <c r="A2090" s="1"/>
      <c r="C2090" s="1"/>
      <c r="G2090" s="1"/>
      <c r="H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</row>
    <row r="2091" spans="1:19" x14ac:dyDescent="0.2">
      <c r="A2091" s="1"/>
      <c r="C2091" s="1"/>
      <c r="G2091" s="1"/>
      <c r="H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</row>
    <row r="2092" spans="1:19" x14ac:dyDescent="0.2">
      <c r="A2092" s="1"/>
      <c r="C2092" s="1"/>
      <c r="G2092" s="1"/>
      <c r="H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</row>
    <row r="2093" spans="1:19" x14ac:dyDescent="0.2">
      <c r="A2093" s="1"/>
      <c r="C2093" s="1"/>
      <c r="G2093" s="1"/>
      <c r="H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</row>
    <row r="2094" spans="1:19" x14ac:dyDescent="0.2">
      <c r="A2094" s="1"/>
      <c r="C2094" s="1"/>
      <c r="G2094" s="1"/>
      <c r="H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</row>
    <row r="2095" spans="1:19" x14ac:dyDescent="0.2">
      <c r="A2095" s="1"/>
      <c r="C2095" s="1"/>
      <c r="G2095" s="1"/>
      <c r="H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</row>
    <row r="2096" spans="1:19" x14ac:dyDescent="0.2">
      <c r="A2096" s="1"/>
      <c r="C2096" s="1"/>
      <c r="G2096" s="1"/>
      <c r="H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</row>
    <row r="2097" spans="1:19" x14ac:dyDescent="0.2">
      <c r="A2097" s="1"/>
      <c r="C2097" s="1"/>
      <c r="G2097" s="1"/>
      <c r="H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</row>
    <row r="2098" spans="1:19" x14ac:dyDescent="0.2">
      <c r="A2098" s="1"/>
      <c r="C2098" s="1"/>
      <c r="G2098" s="1"/>
      <c r="H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</row>
    <row r="2099" spans="1:19" x14ac:dyDescent="0.2">
      <c r="A2099" s="1"/>
      <c r="C2099" s="1"/>
      <c r="G2099" s="1"/>
      <c r="H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</row>
    <row r="2100" spans="1:19" x14ac:dyDescent="0.2">
      <c r="A2100" s="1"/>
      <c r="C2100" s="1"/>
      <c r="G2100" s="1"/>
      <c r="H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</row>
    <row r="2101" spans="1:19" x14ac:dyDescent="0.2">
      <c r="A2101" s="1"/>
      <c r="C2101" s="1"/>
      <c r="G2101" s="1"/>
      <c r="H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</row>
    <row r="2102" spans="1:19" x14ac:dyDescent="0.2">
      <c r="A2102" s="1"/>
      <c r="C2102" s="1"/>
      <c r="G2102" s="1"/>
      <c r="H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</row>
    <row r="2103" spans="1:19" x14ac:dyDescent="0.2">
      <c r="A2103" s="1"/>
      <c r="C2103" s="1"/>
      <c r="G2103" s="1"/>
      <c r="H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</row>
    <row r="2104" spans="1:19" x14ac:dyDescent="0.2">
      <c r="A2104" s="1"/>
      <c r="C2104" s="1"/>
      <c r="G2104" s="1"/>
      <c r="H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</row>
    <row r="2105" spans="1:19" x14ac:dyDescent="0.2">
      <c r="A2105" s="1"/>
      <c r="C2105" s="1"/>
      <c r="G2105" s="1"/>
      <c r="H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</row>
    <row r="2106" spans="1:19" x14ac:dyDescent="0.2">
      <c r="A2106" s="1"/>
      <c r="C2106" s="1"/>
      <c r="G2106" s="1"/>
      <c r="H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</row>
    <row r="2107" spans="1:19" x14ac:dyDescent="0.2">
      <c r="A2107" s="1"/>
      <c r="C2107" s="1"/>
      <c r="G2107" s="1"/>
      <c r="H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</row>
    <row r="2108" spans="1:19" x14ac:dyDescent="0.2">
      <c r="A2108" s="1"/>
      <c r="C2108" s="1"/>
      <c r="G2108" s="1"/>
      <c r="H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</row>
    <row r="2109" spans="1:19" x14ac:dyDescent="0.2">
      <c r="A2109" s="1"/>
      <c r="C2109" s="1"/>
      <c r="G2109" s="1"/>
      <c r="H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</row>
    <row r="2110" spans="1:19" x14ac:dyDescent="0.2">
      <c r="A2110" s="1"/>
      <c r="C2110" s="1"/>
      <c r="G2110" s="1"/>
      <c r="H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</row>
    <row r="2111" spans="1:19" x14ac:dyDescent="0.2">
      <c r="A2111" s="1"/>
      <c r="C2111" s="1"/>
      <c r="G2111" s="1"/>
      <c r="H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</row>
    <row r="2112" spans="1:19" x14ac:dyDescent="0.2">
      <c r="A2112" s="1"/>
      <c r="C2112" s="1"/>
      <c r="G2112" s="1"/>
      <c r="H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</row>
    <row r="2113" spans="1:19" x14ac:dyDescent="0.2">
      <c r="A2113" s="1"/>
      <c r="C2113" s="1"/>
      <c r="G2113" s="1"/>
      <c r="H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</row>
    <row r="2114" spans="1:19" x14ac:dyDescent="0.2">
      <c r="A2114" s="1"/>
      <c r="C2114" s="1"/>
      <c r="G2114" s="1"/>
      <c r="H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</row>
    <row r="2115" spans="1:19" x14ac:dyDescent="0.2">
      <c r="A2115" s="1"/>
      <c r="C2115" s="1"/>
      <c r="G2115" s="1"/>
      <c r="H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</row>
    <row r="2116" spans="1:19" x14ac:dyDescent="0.2">
      <c r="A2116" s="1"/>
      <c r="C2116" s="1"/>
      <c r="G2116" s="1"/>
      <c r="H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</row>
    <row r="2117" spans="1:19" x14ac:dyDescent="0.2">
      <c r="A2117" s="1"/>
      <c r="C2117" s="1"/>
      <c r="G2117" s="1"/>
      <c r="H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</row>
    <row r="2118" spans="1:19" x14ac:dyDescent="0.2">
      <c r="A2118" s="1"/>
      <c r="C2118" s="1"/>
      <c r="G2118" s="1"/>
      <c r="H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</row>
    <row r="2119" spans="1:19" x14ac:dyDescent="0.2">
      <c r="A2119" s="1"/>
      <c r="C2119" s="1"/>
      <c r="G2119" s="1"/>
      <c r="H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</row>
    <row r="2120" spans="1:19" x14ac:dyDescent="0.2">
      <c r="A2120" s="1"/>
      <c r="C2120" s="1"/>
      <c r="G2120" s="1"/>
      <c r="H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</row>
    <row r="2121" spans="1:19" x14ac:dyDescent="0.2">
      <c r="A2121" s="1"/>
      <c r="C2121" s="1"/>
      <c r="G2121" s="1"/>
      <c r="H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</row>
    <row r="2122" spans="1:19" x14ac:dyDescent="0.2">
      <c r="A2122" s="1"/>
      <c r="C2122" s="1"/>
      <c r="G2122" s="1"/>
      <c r="H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</row>
    <row r="2123" spans="1:19" x14ac:dyDescent="0.2">
      <c r="A2123" s="1"/>
      <c r="C2123" s="1"/>
      <c r="G2123" s="1"/>
      <c r="H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</row>
    <row r="2124" spans="1:19" x14ac:dyDescent="0.2">
      <c r="A2124" s="1"/>
      <c r="C2124" s="1"/>
      <c r="G2124" s="1"/>
      <c r="H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</row>
    <row r="2125" spans="1:19" x14ac:dyDescent="0.2">
      <c r="A2125" s="1"/>
      <c r="C2125" s="1"/>
      <c r="G2125" s="1"/>
      <c r="H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</row>
    <row r="2126" spans="1:19" x14ac:dyDescent="0.2">
      <c r="A2126" s="1"/>
      <c r="C2126" s="1"/>
      <c r="G2126" s="1"/>
      <c r="H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</row>
    <row r="2127" spans="1:19" x14ac:dyDescent="0.2">
      <c r="A2127" s="1"/>
      <c r="C2127" s="1"/>
      <c r="G2127" s="1"/>
      <c r="H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</row>
    <row r="2128" spans="1:19" x14ac:dyDescent="0.2">
      <c r="A2128" s="1"/>
      <c r="C2128" s="1"/>
      <c r="G2128" s="1"/>
      <c r="H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</row>
    <row r="2129" spans="1:19" x14ac:dyDescent="0.2">
      <c r="A2129" s="1"/>
      <c r="C2129" s="1"/>
      <c r="G2129" s="1"/>
      <c r="H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</row>
    <row r="2130" spans="1:19" x14ac:dyDescent="0.2">
      <c r="A2130" s="1"/>
      <c r="C2130" s="1"/>
      <c r="G2130" s="1"/>
      <c r="H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</row>
    <row r="2131" spans="1:19" x14ac:dyDescent="0.2">
      <c r="A2131" s="1"/>
      <c r="C2131" s="1"/>
      <c r="G2131" s="1"/>
      <c r="H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</row>
    <row r="2132" spans="1:19" x14ac:dyDescent="0.2">
      <c r="A2132" s="1"/>
      <c r="C2132" s="1"/>
      <c r="G2132" s="1"/>
      <c r="H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</row>
    <row r="2133" spans="1:19" x14ac:dyDescent="0.2">
      <c r="A2133" s="1"/>
      <c r="C2133" s="1"/>
      <c r="G2133" s="1"/>
      <c r="H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</row>
    <row r="2134" spans="1:19" x14ac:dyDescent="0.2">
      <c r="A2134" s="1"/>
      <c r="C2134" s="1"/>
      <c r="G2134" s="1"/>
      <c r="H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</row>
    <row r="2135" spans="1:19" x14ac:dyDescent="0.2">
      <c r="A2135" s="1"/>
      <c r="C2135" s="1"/>
      <c r="G2135" s="1"/>
      <c r="H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</row>
    <row r="2136" spans="1:19" x14ac:dyDescent="0.2">
      <c r="A2136" s="1"/>
      <c r="C2136" s="1"/>
      <c r="G2136" s="1"/>
      <c r="H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</row>
    <row r="2137" spans="1:19" x14ac:dyDescent="0.2">
      <c r="A2137" s="1"/>
      <c r="C2137" s="1"/>
      <c r="G2137" s="1"/>
      <c r="H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</row>
    <row r="2138" spans="1:19" x14ac:dyDescent="0.2">
      <c r="A2138" s="1"/>
      <c r="C2138" s="1"/>
      <c r="G2138" s="1"/>
      <c r="H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</row>
    <row r="2139" spans="1:19" x14ac:dyDescent="0.2">
      <c r="A2139" s="1"/>
      <c r="C2139" s="1"/>
      <c r="G2139" s="1"/>
      <c r="H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</row>
    <row r="2140" spans="1:19" x14ac:dyDescent="0.2">
      <c r="A2140" s="1"/>
      <c r="C2140" s="1"/>
      <c r="G2140" s="1"/>
      <c r="H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</row>
    <row r="2141" spans="1:19" x14ac:dyDescent="0.2">
      <c r="A2141" s="1"/>
      <c r="C2141" s="1"/>
      <c r="G2141" s="1"/>
      <c r="H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</row>
    <row r="2142" spans="1:19" x14ac:dyDescent="0.2">
      <c r="A2142" s="1"/>
      <c r="C2142" s="1"/>
      <c r="G2142" s="1"/>
      <c r="H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</row>
    <row r="2143" spans="1:19" x14ac:dyDescent="0.2">
      <c r="A2143" s="1"/>
      <c r="C2143" s="1"/>
      <c r="G2143" s="1"/>
      <c r="H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</row>
    <row r="2144" spans="1:19" x14ac:dyDescent="0.2">
      <c r="A2144" s="1"/>
      <c r="C2144" s="1"/>
      <c r="G2144" s="1"/>
      <c r="H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</row>
    <row r="2145" spans="1:19" x14ac:dyDescent="0.2">
      <c r="A2145" s="1"/>
      <c r="C2145" s="1"/>
      <c r="G2145" s="1"/>
      <c r="H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</row>
    <row r="2146" spans="1:19" x14ac:dyDescent="0.2">
      <c r="A2146" s="1"/>
      <c r="C2146" s="1"/>
      <c r="G2146" s="1"/>
      <c r="H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</row>
    <row r="2147" spans="1:19" x14ac:dyDescent="0.2">
      <c r="A2147" s="1"/>
      <c r="C2147" s="1"/>
      <c r="G2147" s="1"/>
      <c r="H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</row>
    <row r="2148" spans="1:19" x14ac:dyDescent="0.2">
      <c r="A2148" s="1"/>
      <c r="C2148" s="1"/>
      <c r="G2148" s="1"/>
      <c r="H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</row>
    <row r="2149" spans="1:19" x14ac:dyDescent="0.2">
      <c r="A2149" s="1"/>
      <c r="C2149" s="1"/>
      <c r="G2149" s="1"/>
      <c r="H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</row>
    <row r="2150" spans="1:19" x14ac:dyDescent="0.2">
      <c r="A2150" s="1"/>
      <c r="C2150" s="1"/>
      <c r="G2150" s="1"/>
      <c r="H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</row>
    <row r="2151" spans="1:19" x14ac:dyDescent="0.2">
      <c r="A2151" s="1"/>
      <c r="C2151" s="1"/>
      <c r="G2151" s="1"/>
      <c r="H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</row>
    <row r="2152" spans="1:19" x14ac:dyDescent="0.2">
      <c r="A2152" s="1"/>
      <c r="C2152" s="1"/>
      <c r="G2152" s="1"/>
      <c r="H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</row>
    <row r="2153" spans="1:19" x14ac:dyDescent="0.2">
      <c r="A2153" s="1"/>
      <c r="C2153" s="1"/>
      <c r="G2153" s="1"/>
      <c r="H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</row>
    <row r="2154" spans="1:19" x14ac:dyDescent="0.2">
      <c r="A2154" s="1"/>
      <c r="C2154" s="1"/>
      <c r="G2154" s="1"/>
      <c r="H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</row>
    <row r="2155" spans="1:19" x14ac:dyDescent="0.2">
      <c r="A2155" s="1"/>
      <c r="C2155" s="1"/>
      <c r="G2155" s="1"/>
      <c r="H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</row>
    <row r="2156" spans="1:19" x14ac:dyDescent="0.2">
      <c r="A2156" s="1"/>
      <c r="C2156" s="1"/>
      <c r="G2156" s="1"/>
      <c r="H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</row>
    <row r="2157" spans="1:19" x14ac:dyDescent="0.2">
      <c r="A2157" s="1"/>
      <c r="C2157" s="1"/>
      <c r="G2157" s="1"/>
      <c r="H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</row>
    <row r="2158" spans="1:19" x14ac:dyDescent="0.2">
      <c r="A2158" s="1"/>
      <c r="C2158" s="1"/>
      <c r="G2158" s="1"/>
      <c r="H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</row>
    <row r="2159" spans="1:19" x14ac:dyDescent="0.2">
      <c r="A2159" s="1"/>
      <c r="C2159" s="1"/>
      <c r="G2159" s="1"/>
      <c r="H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</row>
    <row r="2160" spans="1:19" x14ac:dyDescent="0.2">
      <c r="A2160" s="1"/>
      <c r="C2160" s="1"/>
      <c r="G2160" s="1"/>
      <c r="H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</row>
    <row r="2161" spans="1:19" x14ac:dyDescent="0.2">
      <c r="A2161" s="1"/>
      <c r="C2161" s="1"/>
      <c r="G2161" s="1"/>
      <c r="H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</row>
    <row r="2162" spans="1:19" x14ac:dyDescent="0.2">
      <c r="A2162" s="1"/>
      <c r="C2162" s="1"/>
      <c r="G2162" s="1"/>
      <c r="H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</row>
    <row r="2163" spans="1:19" x14ac:dyDescent="0.2">
      <c r="A2163" s="1"/>
      <c r="C2163" s="1"/>
      <c r="G2163" s="1"/>
      <c r="H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</row>
    <row r="2164" spans="1:19" x14ac:dyDescent="0.2">
      <c r="A2164" s="1"/>
      <c r="C2164" s="1"/>
      <c r="G2164" s="1"/>
      <c r="H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</row>
    <row r="2165" spans="1:19" x14ac:dyDescent="0.2">
      <c r="A2165" s="1"/>
      <c r="C2165" s="1"/>
      <c r="G2165" s="1"/>
      <c r="H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</row>
    <row r="2166" spans="1:19" x14ac:dyDescent="0.2">
      <c r="A2166" s="1"/>
      <c r="C2166" s="1"/>
      <c r="G2166" s="1"/>
      <c r="H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</row>
    <row r="2167" spans="1:19" x14ac:dyDescent="0.2">
      <c r="A2167" s="1"/>
      <c r="C2167" s="1"/>
      <c r="G2167" s="1"/>
      <c r="H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</row>
    <row r="2168" spans="1:19" x14ac:dyDescent="0.2">
      <c r="A2168" s="1"/>
      <c r="C2168" s="1"/>
      <c r="G2168" s="1"/>
      <c r="H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</row>
    <row r="2169" spans="1:19" x14ac:dyDescent="0.2">
      <c r="A2169" s="1"/>
      <c r="C2169" s="1"/>
      <c r="G2169" s="1"/>
      <c r="H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</row>
    <row r="2170" spans="1:19" x14ac:dyDescent="0.2">
      <c r="A2170" s="1"/>
      <c r="C2170" s="1"/>
      <c r="G2170" s="1"/>
      <c r="H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</row>
    <row r="2171" spans="1:19" x14ac:dyDescent="0.2">
      <c r="A2171" s="1"/>
      <c r="C2171" s="1"/>
      <c r="G2171" s="1"/>
      <c r="H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</row>
    <row r="2172" spans="1:19" x14ac:dyDescent="0.2">
      <c r="A2172" s="1"/>
      <c r="C2172" s="1"/>
      <c r="G2172" s="1"/>
      <c r="H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</row>
    <row r="2173" spans="1:19" x14ac:dyDescent="0.2">
      <c r="A2173" s="1"/>
      <c r="C2173" s="1"/>
      <c r="G2173" s="1"/>
      <c r="H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</row>
    <row r="2174" spans="1:19" x14ac:dyDescent="0.2">
      <c r="A2174" s="1"/>
      <c r="C2174" s="1"/>
      <c r="G2174" s="1"/>
      <c r="H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</row>
    <row r="2175" spans="1:19" x14ac:dyDescent="0.2">
      <c r="A2175" s="1"/>
      <c r="C2175" s="1"/>
      <c r="G2175" s="1"/>
      <c r="H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</row>
    <row r="2176" spans="1:19" x14ac:dyDescent="0.2">
      <c r="A2176" s="1"/>
      <c r="C2176" s="1"/>
      <c r="G2176" s="1"/>
      <c r="H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</row>
    <row r="2177" spans="1:19" x14ac:dyDescent="0.2">
      <c r="A2177" s="1"/>
      <c r="C2177" s="1"/>
      <c r="G2177" s="1"/>
      <c r="H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</row>
    <row r="2178" spans="1:19" x14ac:dyDescent="0.2">
      <c r="A2178" s="1"/>
      <c r="C2178" s="1"/>
      <c r="G2178" s="1"/>
      <c r="H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</row>
    <row r="2179" spans="1:19" x14ac:dyDescent="0.2">
      <c r="A2179" s="1"/>
      <c r="C2179" s="1"/>
      <c r="G2179" s="1"/>
      <c r="H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</row>
    <row r="2180" spans="1:19" x14ac:dyDescent="0.2">
      <c r="A2180" s="1"/>
      <c r="C2180" s="1"/>
      <c r="G2180" s="1"/>
      <c r="H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</row>
    <row r="2181" spans="1:19" x14ac:dyDescent="0.2">
      <c r="A2181" s="1"/>
      <c r="C2181" s="1"/>
      <c r="G2181" s="1"/>
      <c r="H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</row>
    <row r="2182" spans="1:19" x14ac:dyDescent="0.2">
      <c r="A2182" s="1"/>
      <c r="C2182" s="1"/>
      <c r="G2182" s="1"/>
      <c r="H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</row>
    <row r="2183" spans="1:19" x14ac:dyDescent="0.2">
      <c r="A2183" s="1"/>
      <c r="C2183" s="1"/>
      <c r="G2183" s="1"/>
      <c r="H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</row>
    <row r="2184" spans="1:19" x14ac:dyDescent="0.2">
      <c r="A2184" s="1"/>
      <c r="C2184" s="1"/>
      <c r="G2184" s="1"/>
      <c r="H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</row>
    <row r="2185" spans="1:19" x14ac:dyDescent="0.2">
      <c r="A2185" s="1"/>
      <c r="C2185" s="1"/>
      <c r="G2185" s="1"/>
      <c r="H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</row>
    <row r="2186" spans="1:19" x14ac:dyDescent="0.2">
      <c r="A2186" s="1"/>
      <c r="C2186" s="1"/>
      <c r="G2186" s="1"/>
      <c r="H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</row>
    <row r="2187" spans="1:19" x14ac:dyDescent="0.2">
      <c r="A2187" s="1"/>
      <c r="C2187" s="1"/>
      <c r="G2187" s="1"/>
      <c r="H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</row>
    <row r="2188" spans="1:19" x14ac:dyDescent="0.2">
      <c r="A2188" s="1"/>
      <c r="C2188" s="1"/>
      <c r="G2188" s="1"/>
      <c r="H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</row>
    <row r="2189" spans="1:19" x14ac:dyDescent="0.2">
      <c r="A2189" s="1"/>
      <c r="C2189" s="1"/>
      <c r="G2189" s="1"/>
      <c r="H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</row>
    <row r="2190" spans="1:19" x14ac:dyDescent="0.2">
      <c r="A2190" s="1"/>
      <c r="C2190" s="1"/>
      <c r="G2190" s="1"/>
      <c r="H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</row>
    <row r="2191" spans="1:19" x14ac:dyDescent="0.2">
      <c r="A2191" s="1"/>
      <c r="C2191" s="1"/>
      <c r="G2191" s="1"/>
      <c r="H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</row>
    <row r="2192" spans="1:19" x14ac:dyDescent="0.2">
      <c r="A2192" s="1"/>
      <c r="C2192" s="1"/>
      <c r="G2192" s="1"/>
      <c r="H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</row>
    <row r="2193" spans="1:19" x14ac:dyDescent="0.2">
      <c r="A2193" s="1"/>
      <c r="C2193" s="1"/>
      <c r="G2193" s="1"/>
      <c r="H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</row>
    <row r="2194" spans="1:19" x14ac:dyDescent="0.2">
      <c r="A2194" s="1"/>
      <c r="C2194" s="1"/>
      <c r="G2194" s="1"/>
      <c r="H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</row>
    <row r="2195" spans="1:19" x14ac:dyDescent="0.2">
      <c r="A2195" s="1"/>
      <c r="C2195" s="1"/>
      <c r="G2195" s="1"/>
      <c r="H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</row>
    <row r="2196" spans="1:19" x14ac:dyDescent="0.2">
      <c r="A2196" s="1"/>
      <c r="C2196" s="1"/>
      <c r="G2196" s="1"/>
      <c r="H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</row>
    <row r="2197" spans="1:19" x14ac:dyDescent="0.2">
      <c r="A2197" s="1"/>
      <c r="C2197" s="1"/>
      <c r="G2197" s="1"/>
      <c r="H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</row>
    <row r="2198" spans="1:19" x14ac:dyDescent="0.2">
      <c r="A2198" s="1"/>
      <c r="C2198" s="1"/>
      <c r="G2198" s="1"/>
      <c r="H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</row>
    <row r="2199" spans="1:19" x14ac:dyDescent="0.2">
      <c r="A2199" s="1"/>
      <c r="C2199" s="1"/>
      <c r="G2199" s="1"/>
      <c r="H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</row>
    <row r="2200" spans="1:19" x14ac:dyDescent="0.2">
      <c r="A2200" s="1"/>
      <c r="C2200" s="1"/>
      <c r="G2200" s="1"/>
      <c r="H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</row>
    <row r="2201" spans="1:19" x14ac:dyDescent="0.2">
      <c r="A2201" s="1"/>
      <c r="C2201" s="1"/>
      <c r="G2201" s="1"/>
      <c r="H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</row>
    <row r="2202" spans="1:19" x14ac:dyDescent="0.2">
      <c r="A2202" s="1"/>
      <c r="C2202" s="1"/>
      <c r="G2202" s="1"/>
      <c r="H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</row>
    <row r="2203" spans="1:19" x14ac:dyDescent="0.2">
      <c r="A2203" s="1"/>
      <c r="C2203" s="1"/>
      <c r="G2203" s="1"/>
      <c r="H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</row>
    <row r="2204" spans="1:19" x14ac:dyDescent="0.2">
      <c r="A2204" s="1"/>
      <c r="C2204" s="1"/>
      <c r="G2204" s="1"/>
      <c r="H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</row>
    <row r="2205" spans="1:19" x14ac:dyDescent="0.2">
      <c r="A2205" s="1"/>
      <c r="C2205" s="1"/>
      <c r="G2205" s="1"/>
      <c r="H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</row>
    <row r="2206" spans="1:19" x14ac:dyDescent="0.2">
      <c r="A2206" s="1"/>
      <c r="C2206" s="1"/>
      <c r="G2206" s="1"/>
      <c r="H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</row>
    <row r="2207" spans="1:19" x14ac:dyDescent="0.2">
      <c r="A2207" s="1"/>
      <c r="C2207" s="1"/>
      <c r="G2207" s="1"/>
      <c r="H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</row>
    <row r="2208" spans="1:19" x14ac:dyDescent="0.2">
      <c r="A2208" s="1"/>
      <c r="C2208" s="1"/>
      <c r="G2208" s="1"/>
      <c r="H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</row>
    <row r="2209" spans="1:19" x14ac:dyDescent="0.2">
      <c r="A2209" s="1"/>
      <c r="C2209" s="1"/>
      <c r="G2209" s="1"/>
      <c r="H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</row>
    <row r="2210" spans="1:19" x14ac:dyDescent="0.2">
      <c r="A2210" s="1"/>
      <c r="C2210" s="1"/>
      <c r="G2210" s="1"/>
      <c r="H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</row>
    <row r="2211" spans="1:19" x14ac:dyDescent="0.2">
      <c r="A2211" s="1"/>
      <c r="C2211" s="1"/>
      <c r="G2211" s="1"/>
      <c r="H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</row>
    <row r="2212" spans="1:19" x14ac:dyDescent="0.2">
      <c r="A2212" s="1"/>
      <c r="C2212" s="1"/>
      <c r="G2212" s="1"/>
      <c r="H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</row>
    <row r="2213" spans="1:19" x14ac:dyDescent="0.2">
      <c r="A2213" s="1"/>
      <c r="C2213" s="1"/>
      <c r="G2213" s="1"/>
      <c r="H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</row>
    <row r="2214" spans="1:19" x14ac:dyDescent="0.2">
      <c r="A2214" s="1"/>
      <c r="C2214" s="1"/>
      <c r="G2214" s="1"/>
      <c r="H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</row>
    <row r="2215" spans="1:19" x14ac:dyDescent="0.2">
      <c r="A2215" s="1"/>
      <c r="C2215" s="1"/>
      <c r="G2215" s="1"/>
      <c r="H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</row>
    <row r="2216" spans="1:19" x14ac:dyDescent="0.2">
      <c r="A2216" s="1"/>
      <c r="C2216" s="1"/>
      <c r="G2216" s="1"/>
      <c r="H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</row>
    <row r="2217" spans="1:19" x14ac:dyDescent="0.2">
      <c r="A2217" s="1"/>
      <c r="C2217" s="1"/>
      <c r="G2217" s="1"/>
      <c r="H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</row>
    <row r="2218" spans="1:19" x14ac:dyDescent="0.2">
      <c r="A2218" s="1"/>
      <c r="C2218" s="1"/>
      <c r="G2218" s="1"/>
      <c r="H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</row>
    <row r="2219" spans="1:19" x14ac:dyDescent="0.2">
      <c r="A2219" s="1"/>
      <c r="C2219" s="1"/>
      <c r="G2219" s="1"/>
      <c r="H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</row>
    <row r="2220" spans="1:19" x14ac:dyDescent="0.2">
      <c r="A2220" s="1"/>
      <c r="C2220" s="1"/>
      <c r="G2220" s="1"/>
      <c r="H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</row>
    <row r="2221" spans="1:19" x14ac:dyDescent="0.2">
      <c r="A2221" s="1"/>
      <c r="C2221" s="1"/>
      <c r="G2221" s="1"/>
      <c r="H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</row>
    <row r="2222" spans="1:19" x14ac:dyDescent="0.2">
      <c r="A2222" s="1"/>
      <c r="C2222" s="1"/>
      <c r="G2222" s="1"/>
      <c r="H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</row>
    <row r="2223" spans="1:19" x14ac:dyDescent="0.2">
      <c r="A2223" s="1"/>
      <c r="C2223" s="1"/>
      <c r="G2223" s="1"/>
      <c r="H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</row>
    <row r="2224" spans="1:19" x14ac:dyDescent="0.2">
      <c r="A2224" s="1"/>
      <c r="C2224" s="1"/>
      <c r="G2224" s="1"/>
      <c r="H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</row>
    <row r="2225" spans="1:19" x14ac:dyDescent="0.2">
      <c r="A2225" s="1"/>
      <c r="C2225" s="1"/>
      <c r="G2225" s="1"/>
      <c r="H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</row>
    <row r="2226" spans="1:19" x14ac:dyDescent="0.2">
      <c r="A2226" s="1"/>
      <c r="C2226" s="1"/>
      <c r="G2226" s="1"/>
      <c r="H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</row>
    <row r="2227" spans="1:19" x14ac:dyDescent="0.2">
      <c r="A2227" s="1"/>
      <c r="C2227" s="1"/>
      <c r="G2227" s="1"/>
      <c r="H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</row>
    <row r="2228" spans="1:19" x14ac:dyDescent="0.2">
      <c r="A2228" s="1"/>
      <c r="C2228" s="1"/>
      <c r="G2228" s="1"/>
      <c r="H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</row>
    <row r="2229" spans="1:19" x14ac:dyDescent="0.2">
      <c r="A2229" s="1"/>
      <c r="C2229" s="1"/>
      <c r="G2229" s="1"/>
      <c r="H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</row>
    <row r="2230" spans="1:19" x14ac:dyDescent="0.2">
      <c r="A2230" s="1"/>
      <c r="C2230" s="1"/>
      <c r="G2230" s="1"/>
      <c r="H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</row>
    <row r="2231" spans="1:19" x14ac:dyDescent="0.2">
      <c r="A2231" s="1"/>
      <c r="C2231" s="1"/>
      <c r="G2231" s="1"/>
      <c r="H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</row>
    <row r="2232" spans="1:19" x14ac:dyDescent="0.2">
      <c r="A2232" s="1"/>
      <c r="C2232" s="1"/>
      <c r="G2232" s="1"/>
      <c r="H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</row>
    <row r="2233" spans="1:19" x14ac:dyDescent="0.2">
      <c r="A2233" s="1"/>
      <c r="C2233" s="1"/>
      <c r="G2233" s="1"/>
      <c r="H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</row>
    <row r="2234" spans="1:19" x14ac:dyDescent="0.2">
      <c r="A2234" s="1"/>
      <c r="C2234" s="1"/>
      <c r="G2234" s="1"/>
      <c r="H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</row>
    <row r="2235" spans="1:19" x14ac:dyDescent="0.2">
      <c r="A2235" s="1"/>
      <c r="C2235" s="1"/>
      <c r="G2235" s="1"/>
      <c r="H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</row>
    <row r="2236" spans="1:19" x14ac:dyDescent="0.2">
      <c r="A2236" s="1"/>
      <c r="C2236" s="1"/>
      <c r="G2236" s="1"/>
      <c r="H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</row>
    <row r="2237" spans="1:19" x14ac:dyDescent="0.2">
      <c r="A2237" s="1"/>
      <c r="C2237" s="1"/>
      <c r="G2237" s="1"/>
      <c r="H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</row>
    <row r="2238" spans="1:19" x14ac:dyDescent="0.2">
      <c r="A2238" s="1"/>
      <c r="C2238" s="1"/>
      <c r="G2238" s="1"/>
      <c r="H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</row>
    <row r="2239" spans="1:19" x14ac:dyDescent="0.2">
      <c r="A2239" s="1"/>
      <c r="C2239" s="1"/>
      <c r="G2239" s="1"/>
      <c r="H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</row>
    <row r="2240" spans="1:19" x14ac:dyDescent="0.2">
      <c r="A2240" s="1"/>
      <c r="C2240" s="1"/>
      <c r="G2240" s="1"/>
      <c r="H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</row>
    <row r="2241" spans="1:19" x14ac:dyDescent="0.2">
      <c r="A2241" s="1"/>
      <c r="C2241" s="1"/>
      <c r="G2241" s="1"/>
      <c r="H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</row>
    <row r="2242" spans="1:19" x14ac:dyDescent="0.2">
      <c r="A2242" s="1"/>
      <c r="C2242" s="1"/>
      <c r="G2242" s="1"/>
      <c r="H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</row>
    <row r="2243" spans="1:19" x14ac:dyDescent="0.2">
      <c r="A2243" s="1"/>
      <c r="C2243" s="1"/>
      <c r="G2243" s="1"/>
      <c r="H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</row>
    <row r="2244" spans="1:19" x14ac:dyDescent="0.2">
      <c r="A2244" s="1"/>
      <c r="C2244" s="1"/>
      <c r="G2244" s="1"/>
      <c r="H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</row>
    <row r="2245" spans="1:19" x14ac:dyDescent="0.2">
      <c r="A2245" s="1"/>
      <c r="C2245" s="1"/>
      <c r="G2245" s="1"/>
      <c r="H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</row>
    <row r="2246" spans="1:19" x14ac:dyDescent="0.2">
      <c r="A2246" s="1"/>
      <c r="C2246" s="1"/>
      <c r="G2246" s="1"/>
      <c r="H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</row>
    <row r="2247" spans="1:19" x14ac:dyDescent="0.2">
      <c r="A2247" s="1"/>
      <c r="C2247" s="1"/>
      <c r="G2247" s="1"/>
      <c r="H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</row>
    <row r="2248" spans="1:19" x14ac:dyDescent="0.2">
      <c r="A2248" s="1"/>
      <c r="C2248" s="1"/>
      <c r="G2248" s="1"/>
      <c r="H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</row>
    <row r="2249" spans="1:19" x14ac:dyDescent="0.2">
      <c r="A2249" s="1"/>
      <c r="C2249" s="1"/>
      <c r="G2249" s="1"/>
      <c r="H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</row>
    <row r="2250" spans="1:19" x14ac:dyDescent="0.2">
      <c r="A2250" s="1"/>
      <c r="C2250" s="1"/>
      <c r="G2250" s="1"/>
      <c r="H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</row>
    <row r="2251" spans="1:19" x14ac:dyDescent="0.2">
      <c r="A2251" s="1"/>
      <c r="C2251" s="1"/>
      <c r="G2251" s="1"/>
      <c r="H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</row>
    <row r="2252" spans="1:19" x14ac:dyDescent="0.2">
      <c r="A2252" s="1"/>
      <c r="C2252" s="1"/>
      <c r="G2252" s="1"/>
      <c r="H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</row>
    <row r="2253" spans="1:19" x14ac:dyDescent="0.2">
      <c r="A2253" s="1"/>
      <c r="C2253" s="1"/>
      <c r="G2253" s="1"/>
      <c r="H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</row>
    <row r="2254" spans="1:19" x14ac:dyDescent="0.2">
      <c r="A2254" s="1"/>
      <c r="C2254" s="1"/>
      <c r="G2254" s="1"/>
      <c r="H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</row>
    <row r="2255" spans="1:19" x14ac:dyDescent="0.2">
      <c r="A2255" s="1"/>
      <c r="C2255" s="1"/>
      <c r="G2255" s="1"/>
      <c r="H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</row>
    <row r="2256" spans="1:19" x14ac:dyDescent="0.2">
      <c r="A2256" s="1"/>
      <c r="C2256" s="1"/>
      <c r="G2256" s="1"/>
      <c r="H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</row>
    <row r="2257" spans="1:19" x14ac:dyDescent="0.2">
      <c r="A2257" s="1"/>
      <c r="C2257" s="1"/>
      <c r="G2257" s="1"/>
      <c r="H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</row>
    <row r="2258" spans="1:19" x14ac:dyDescent="0.2">
      <c r="A2258" s="1"/>
      <c r="C2258" s="1"/>
      <c r="G2258" s="1"/>
      <c r="H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</row>
    <row r="2259" spans="1:19" x14ac:dyDescent="0.2">
      <c r="A2259" s="1"/>
      <c r="C2259" s="1"/>
      <c r="G2259" s="1"/>
      <c r="H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</row>
    <row r="2260" spans="1:19" x14ac:dyDescent="0.2">
      <c r="A2260" s="1"/>
      <c r="C2260" s="1"/>
      <c r="G2260" s="1"/>
      <c r="H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</row>
    <row r="2261" spans="1:19" x14ac:dyDescent="0.2">
      <c r="A2261" s="1"/>
      <c r="C2261" s="1"/>
      <c r="G2261" s="1"/>
      <c r="H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</row>
    <row r="2262" spans="1:19" x14ac:dyDescent="0.2">
      <c r="A2262" s="1"/>
      <c r="C2262" s="1"/>
      <c r="G2262" s="1"/>
      <c r="H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</row>
    <row r="2263" spans="1:19" x14ac:dyDescent="0.2">
      <c r="A2263" s="1"/>
      <c r="C2263" s="1"/>
      <c r="G2263" s="1"/>
      <c r="H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</row>
    <row r="2264" spans="1:19" x14ac:dyDescent="0.2">
      <c r="A2264" s="1"/>
      <c r="C2264" s="1"/>
      <c r="G2264" s="1"/>
      <c r="H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</row>
    <row r="2265" spans="1:19" x14ac:dyDescent="0.2">
      <c r="A2265" s="1"/>
      <c r="C2265" s="1"/>
      <c r="G2265" s="1"/>
      <c r="H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</row>
    <row r="2266" spans="1:19" x14ac:dyDescent="0.2">
      <c r="A2266" s="1"/>
      <c r="C2266" s="1"/>
      <c r="G2266" s="1"/>
      <c r="H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</row>
    <row r="2267" spans="1:19" x14ac:dyDescent="0.2">
      <c r="A2267" s="1"/>
      <c r="C2267" s="1"/>
      <c r="G2267" s="1"/>
      <c r="H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</row>
    <row r="2268" spans="1:19" x14ac:dyDescent="0.2">
      <c r="A2268" s="1"/>
      <c r="C2268" s="1"/>
      <c r="G2268" s="1"/>
      <c r="H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</row>
    <row r="2269" spans="1:19" x14ac:dyDescent="0.2">
      <c r="A2269" s="1"/>
      <c r="C2269" s="1"/>
      <c r="G2269" s="1"/>
      <c r="H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</row>
    <row r="2270" spans="1:19" x14ac:dyDescent="0.2">
      <c r="A2270" s="1"/>
      <c r="C2270" s="1"/>
      <c r="G2270" s="1"/>
      <c r="H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</row>
    <row r="2271" spans="1:19" x14ac:dyDescent="0.2">
      <c r="A2271" s="1"/>
      <c r="C2271" s="1"/>
      <c r="G2271" s="1"/>
      <c r="H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</row>
    <row r="2272" spans="1:19" x14ac:dyDescent="0.2">
      <c r="A2272" s="1"/>
      <c r="C2272" s="1"/>
      <c r="G2272" s="1"/>
      <c r="H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</row>
    <row r="2273" spans="1:19" x14ac:dyDescent="0.2">
      <c r="A2273" s="1"/>
      <c r="C2273" s="1"/>
      <c r="G2273" s="1"/>
      <c r="H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</row>
    <row r="2274" spans="1:19" x14ac:dyDescent="0.2">
      <c r="A2274" s="1"/>
      <c r="C2274" s="1"/>
      <c r="G2274" s="1"/>
      <c r="H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</row>
    <row r="2275" spans="1:19" x14ac:dyDescent="0.2">
      <c r="A2275" s="1"/>
      <c r="C2275" s="1"/>
      <c r="G2275" s="1"/>
      <c r="H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</row>
    <row r="2276" spans="1:19" x14ac:dyDescent="0.2">
      <c r="A2276" s="1"/>
      <c r="C2276" s="1"/>
      <c r="G2276" s="1"/>
      <c r="H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</row>
    <row r="2277" spans="1:19" x14ac:dyDescent="0.2">
      <c r="A2277" s="1"/>
      <c r="C2277" s="1"/>
      <c r="G2277" s="1"/>
      <c r="H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</row>
    <row r="2278" spans="1:19" x14ac:dyDescent="0.2">
      <c r="A2278" s="1"/>
      <c r="C2278" s="1"/>
      <c r="G2278" s="1"/>
      <c r="H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</row>
    <row r="2279" spans="1:19" x14ac:dyDescent="0.2">
      <c r="A2279" s="1"/>
      <c r="C2279" s="1"/>
      <c r="G2279" s="1"/>
      <c r="H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</row>
    <row r="2280" spans="1:19" x14ac:dyDescent="0.2">
      <c r="A2280" s="1"/>
      <c r="C2280" s="1"/>
      <c r="G2280" s="1"/>
      <c r="H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</row>
    <row r="2281" spans="1:19" x14ac:dyDescent="0.2">
      <c r="A2281" s="1"/>
      <c r="C2281" s="1"/>
      <c r="G2281" s="1"/>
      <c r="H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</row>
    <row r="2282" spans="1:19" x14ac:dyDescent="0.2">
      <c r="A2282" s="1"/>
      <c r="C2282" s="1"/>
      <c r="G2282" s="1"/>
      <c r="H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</row>
    <row r="2283" spans="1:19" x14ac:dyDescent="0.2">
      <c r="A2283" s="1"/>
      <c r="C2283" s="1"/>
      <c r="G2283" s="1"/>
      <c r="H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</row>
    <row r="2284" spans="1:19" x14ac:dyDescent="0.2">
      <c r="A2284" s="1"/>
      <c r="C2284" s="1"/>
      <c r="G2284" s="1"/>
      <c r="H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</row>
    <row r="2285" spans="1:19" x14ac:dyDescent="0.2">
      <c r="A2285" s="1"/>
      <c r="C2285" s="1"/>
      <c r="G2285" s="1"/>
      <c r="H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</row>
    <row r="2286" spans="1:19" x14ac:dyDescent="0.2">
      <c r="A2286" s="1"/>
      <c r="C2286" s="1"/>
      <c r="G2286" s="1"/>
      <c r="H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</row>
    <row r="2287" spans="1:19" x14ac:dyDescent="0.2">
      <c r="A2287" s="1"/>
      <c r="C2287" s="1"/>
      <c r="G2287" s="1"/>
      <c r="H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</row>
    <row r="2288" spans="1:19" x14ac:dyDescent="0.2">
      <c r="A2288" s="1"/>
      <c r="C2288" s="1"/>
      <c r="G2288" s="1"/>
      <c r="H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</row>
    <row r="2289" spans="1:19" x14ac:dyDescent="0.2">
      <c r="A2289" s="1"/>
      <c r="C2289" s="1"/>
      <c r="G2289" s="1"/>
      <c r="H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</row>
    <row r="2290" spans="1:19" x14ac:dyDescent="0.2">
      <c r="A2290" s="1"/>
      <c r="C2290" s="1"/>
      <c r="G2290" s="1"/>
      <c r="H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</row>
    <row r="2291" spans="1:19" x14ac:dyDescent="0.2">
      <c r="A2291" s="1"/>
      <c r="C2291" s="1"/>
      <c r="G2291" s="1"/>
      <c r="H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</row>
    <row r="2292" spans="1:19" x14ac:dyDescent="0.2">
      <c r="A2292" s="1"/>
      <c r="C2292" s="1"/>
      <c r="G2292" s="1"/>
      <c r="H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</row>
    <row r="2293" spans="1:19" x14ac:dyDescent="0.2">
      <c r="A2293" s="1"/>
      <c r="C2293" s="1"/>
      <c r="G2293" s="1"/>
      <c r="H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</row>
    <row r="2294" spans="1:19" x14ac:dyDescent="0.2">
      <c r="A2294" s="1"/>
      <c r="C2294" s="1"/>
      <c r="G2294" s="1"/>
      <c r="H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</row>
    <row r="2295" spans="1:19" x14ac:dyDescent="0.2">
      <c r="A2295" s="1"/>
      <c r="C2295" s="1"/>
      <c r="G2295" s="1"/>
      <c r="H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</row>
    <row r="2296" spans="1:19" x14ac:dyDescent="0.2">
      <c r="A2296" s="1"/>
      <c r="C2296" s="1"/>
      <c r="G2296" s="1"/>
      <c r="H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</row>
    <row r="2297" spans="1:19" x14ac:dyDescent="0.2">
      <c r="A2297" s="1"/>
      <c r="C2297" s="1"/>
      <c r="G2297" s="1"/>
      <c r="H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</row>
    <row r="2298" spans="1:19" x14ac:dyDescent="0.2">
      <c r="A2298" s="1"/>
      <c r="C2298" s="1"/>
      <c r="G2298" s="1"/>
      <c r="H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</row>
    <row r="2299" spans="1:19" x14ac:dyDescent="0.2">
      <c r="A2299" s="1"/>
      <c r="C2299" s="1"/>
      <c r="G2299" s="1"/>
      <c r="H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</row>
    <row r="2300" spans="1:19" x14ac:dyDescent="0.2">
      <c r="A2300" s="1"/>
      <c r="C2300" s="1"/>
      <c r="G2300" s="1"/>
      <c r="H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</row>
    <row r="2301" spans="1:19" x14ac:dyDescent="0.2">
      <c r="A2301" s="1"/>
      <c r="C2301" s="1"/>
      <c r="G2301" s="1"/>
      <c r="H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</row>
    <row r="2302" spans="1:19" x14ac:dyDescent="0.2">
      <c r="A2302" s="1"/>
      <c r="C2302" s="1"/>
      <c r="G2302" s="1"/>
      <c r="H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</row>
    <row r="2303" spans="1:19" x14ac:dyDescent="0.2">
      <c r="A2303" s="1"/>
      <c r="C2303" s="1"/>
      <c r="G2303" s="1"/>
      <c r="H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</row>
    <row r="2304" spans="1:19" x14ac:dyDescent="0.2">
      <c r="A2304" s="1"/>
      <c r="C2304" s="1"/>
      <c r="G2304" s="1"/>
      <c r="H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</row>
    <row r="2305" spans="1:19" x14ac:dyDescent="0.2">
      <c r="A2305" s="1"/>
      <c r="C2305" s="1"/>
      <c r="G2305" s="1"/>
      <c r="H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</row>
    <row r="2306" spans="1:19" x14ac:dyDescent="0.2">
      <c r="A2306" s="1"/>
      <c r="C2306" s="1"/>
      <c r="G2306" s="1"/>
      <c r="H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</row>
    <row r="2307" spans="1:19" x14ac:dyDescent="0.2">
      <c r="A2307" s="1"/>
      <c r="C2307" s="1"/>
      <c r="G2307" s="1"/>
      <c r="H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</row>
    <row r="2308" spans="1:19" x14ac:dyDescent="0.2">
      <c r="A2308" s="1"/>
      <c r="C2308" s="1"/>
      <c r="G2308" s="1"/>
      <c r="H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</row>
    <row r="2309" spans="1:19" x14ac:dyDescent="0.2">
      <c r="A2309" s="1"/>
      <c r="C2309" s="1"/>
      <c r="G2309" s="1"/>
      <c r="H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</row>
    <row r="2310" spans="1:19" x14ac:dyDescent="0.2">
      <c r="A2310" s="1"/>
      <c r="C2310" s="1"/>
      <c r="G2310" s="1"/>
      <c r="H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</row>
    <row r="2311" spans="1:19" x14ac:dyDescent="0.2">
      <c r="A2311" s="1"/>
      <c r="C2311" s="1"/>
      <c r="G2311" s="1"/>
      <c r="H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</row>
    <row r="2312" spans="1:19" x14ac:dyDescent="0.2">
      <c r="A2312" s="1"/>
      <c r="C2312" s="1"/>
      <c r="G2312" s="1"/>
      <c r="H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</row>
    <row r="2313" spans="1:19" x14ac:dyDescent="0.2">
      <c r="A2313" s="1"/>
      <c r="C2313" s="1"/>
      <c r="G2313" s="1"/>
      <c r="H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</row>
    <row r="2314" spans="1:19" x14ac:dyDescent="0.2">
      <c r="A2314" s="1"/>
      <c r="C2314" s="1"/>
      <c r="G2314" s="1"/>
      <c r="H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</row>
    <row r="2315" spans="1:19" x14ac:dyDescent="0.2">
      <c r="A2315" s="1"/>
      <c r="C2315" s="1"/>
      <c r="G2315" s="1"/>
      <c r="H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</row>
    <row r="2316" spans="1:19" x14ac:dyDescent="0.2">
      <c r="A2316" s="1"/>
      <c r="C2316" s="1"/>
      <c r="G2316" s="1"/>
      <c r="H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</row>
    <row r="2317" spans="1:19" x14ac:dyDescent="0.2">
      <c r="A2317" s="1"/>
      <c r="C2317" s="1"/>
      <c r="G2317" s="1"/>
      <c r="H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</row>
    <row r="2318" spans="1:19" x14ac:dyDescent="0.2">
      <c r="A2318" s="1"/>
      <c r="C2318" s="1"/>
      <c r="G2318" s="1"/>
      <c r="H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</row>
    <row r="2319" spans="1:19" x14ac:dyDescent="0.2">
      <c r="A2319" s="1"/>
      <c r="C2319" s="1"/>
      <c r="G2319" s="1"/>
      <c r="H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</row>
    <row r="2320" spans="1:19" x14ac:dyDescent="0.2">
      <c r="A2320" s="1"/>
      <c r="C2320" s="1"/>
      <c r="G2320" s="1"/>
      <c r="H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</row>
    <row r="2321" spans="1:19" x14ac:dyDescent="0.2">
      <c r="A2321" s="1"/>
      <c r="C2321" s="1"/>
      <c r="G2321" s="1"/>
      <c r="H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</row>
    <row r="2322" spans="1:19" x14ac:dyDescent="0.2">
      <c r="A2322" s="1"/>
      <c r="C2322" s="1"/>
      <c r="G2322" s="1"/>
      <c r="H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</row>
    <row r="2323" spans="1:19" x14ac:dyDescent="0.2">
      <c r="A2323" s="1"/>
      <c r="C2323" s="1"/>
      <c r="G2323" s="1"/>
      <c r="H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</row>
    <row r="2324" spans="1:19" x14ac:dyDescent="0.2">
      <c r="A2324" s="1"/>
      <c r="C2324" s="1"/>
      <c r="G2324" s="1"/>
      <c r="H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</row>
    <row r="2325" spans="1:19" x14ac:dyDescent="0.2">
      <c r="A2325" s="1"/>
      <c r="C2325" s="1"/>
      <c r="G2325" s="1"/>
      <c r="H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</row>
    <row r="2326" spans="1:19" x14ac:dyDescent="0.2">
      <c r="A2326" s="1"/>
      <c r="C2326" s="1"/>
      <c r="G2326" s="1"/>
      <c r="H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</row>
    <row r="2327" spans="1:19" x14ac:dyDescent="0.2">
      <c r="A2327" s="1"/>
      <c r="C2327" s="1"/>
      <c r="G2327" s="1"/>
      <c r="H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</row>
    <row r="2328" spans="1:19" x14ac:dyDescent="0.2">
      <c r="A2328" s="1"/>
      <c r="C2328" s="1"/>
      <c r="G2328" s="1"/>
      <c r="H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</row>
    <row r="2329" spans="1:19" x14ac:dyDescent="0.2">
      <c r="A2329" s="1"/>
      <c r="C2329" s="1"/>
      <c r="G2329" s="1"/>
      <c r="H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</row>
    <row r="2330" spans="1:19" x14ac:dyDescent="0.2">
      <c r="A2330" s="1"/>
      <c r="C2330" s="1"/>
      <c r="G2330" s="1"/>
      <c r="H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</row>
    <row r="2331" spans="1:19" x14ac:dyDescent="0.2">
      <c r="A2331" s="1"/>
      <c r="C2331" s="1"/>
      <c r="G2331" s="1"/>
      <c r="H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</row>
    <row r="2332" spans="1:19" x14ac:dyDescent="0.2">
      <c r="A2332" s="1"/>
      <c r="C2332" s="1"/>
      <c r="G2332" s="1"/>
      <c r="H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</row>
    <row r="2333" spans="1:19" x14ac:dyDescent="0.2">
      <c r="A2333" s="1"/>
      <c r="C2333" s="1"/>
      <c r="G2333" s="1"/>
      <c r="H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</row>
    <row r="2334" spans="1:19" x14ac:dyDescent="0.2">
      <c r="A2334" s="1"/>
      <c r="C2334" s="1"/>
      <c r="G2334" s="1"/>
      <c r="H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</row>
    <row r="2335" spans="1:19" x14ac:dyDescent="0.2">
      <c r="A2335" s="1"/>
      <c r="C2335" s="1"/>
      <c r="G2335" s="1"/>
      <c r="H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</row>
    <row r="2336" spans="1:19" x14ac:dyDescent="0.2">
      <c r="A2336" s="1"/>
      <c r="C2336" s="1"/>
      <c r="G2336" s="1"/>
      <c r="H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</row>
    <row r="2337" spans="1:19" x14ac:dyDescent="0.2">
      <c r="A2337" s="1"/>
      <c r="C2337" s="1"/>
      <c r="G2337" s="1"/>
      <c r="H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</row>
    <row r="2338" spans="1:19" x14ac:dyDescent="0.2">
      <c r="A2338" s="1"/>
      <c r="C2338" s="1"/>
      <c r="G2338" s="1"/>
      <c r="H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</row>
    <row r="2339" spans="1:19" x14ac:dyDescent="0.2">
      <c r="A2339" s="1"/>
      <c r="C2339" s="1"/>
      <c r="G2339" s="1"/>
      <c r="H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</row>
    <row r="2340" spans="1:19" x14ac:dyDescent="0.2">
      <c r="A2340" s="1"/>
      <c r="C2340" s="1"/>
      <c r="G2340" s="1"/>
      <c r="H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</row>
    <row r="2341" spans="1:19" x14ac:dyDescent="0.2">
      <c r="A2341" s="1"/>
      <c r="C2341" s="1"/>
      <c r="G2341" s="1"/>
      <c r="H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</row>
    <row r="2342" spans="1:19" x14ac:dyDescent="0.2">
      <c r="A2342" s="1"/>
      <c r="C2342" s="1"/>
      <c r="G2342" s="1"/>
      <c r="H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</row>
    <row r="2343" spans="1:19" x14ac:dyDescent="0.2">
      <c r="A2343" s="1"/>
      <c r="C2343" s="1"/>
      <c r="G2343" s="1"/>
      <c r="H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</row>
    <row r="2344" spans="1:19" x14ac:dyDescent="0.2">
      <c r="A2344" s="1"/>
      <c r="C2344" s="1"/>
      <c r="G2344" s="1"/>
      <c r="H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</row>
    <row r="2345" spans="1:19" x14ac:dyDescent="0.2">
      <c r="A2345" s="1"/>
      <c r="C2345" s="1"/>
      <c r="G2345" s="1"/>
      <c r="H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</row>
    <row r="2346" spans="1:19" x14ac:dyDescent="0.2">
      <c r="A2346" s="1"/>
      <c r="C2346" s="1"/>
      <c r="G2346" s="1"/>
      <c r="H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</row>
    <row r="2347" spans="1:19" x14ac:dyDescent="0.2">
      <c r="A2347" s="1"/>
      <c r="C2347" s="1"/>
      <c r="G2347" s="1"/>
      <c r="H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</row>
    <row r="2348" spans="1:19" x14ac:dyDescent="0.2">
      <c r="A2348" s="1"/>
      <c r="C2348" s="1"/>
      <c r="G2348" s="1"/>
      <c r="H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</row>
    <row r="2349" spans="1:19" x14ac:dyDescent="0.2">
      <c r="A2349" s="1"/>
      <c r="C2349" s="1"/>
      <c r="G2349" s="1"/>
      <c r="H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</row>
    <row r="2350" spans="1:19" x14ac:dyDescent="0.2">
      <c r="A2350" s="1"/>
      <c r="C2350" s="1"/>
      <c r="G2350" s="1"/>
      <c r="H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</row>
    <row r="2351" spans="1:19" x14ac:dyDescent="0.2">
      <c r="A2351" s="1"/>
      <c r="C2351" s="1"/>
      <c r="G2351" s="1"/>
      <c r="H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</row>
    <row r="2352" spans="1:19" x14ac:dyDescent="0.2">
      <c r="A2352" s="1"/>
      <c r="C2352" s="1"/>
      <c r="G2352" s="1"/>
      <c r="H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</row>
    <row r="2353" spans="1:19" x14ac:dyDescent="0.2">
      <c r="A2353" s="1"/>
      <c r="C2353" s="1"/>
      <c r="G2353" s="1"/>
      <c r="H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</row>
    <row r="2354" spans="1:19" x14ac:dyDescent="0.2">
      <c r="A2354" s="1"/>
      <c r="C2354" s="1"/>
      <c r="G2354" s="1"/>
      <c r="H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</row>
    <row r="2355" spans="1:19" x14ac:dyDescent="0.2">
      <c r="A2355" s="1"/>
      <c r="C2355" s="1"/>
      <c r="G2355" s="1"/>
      <c r="H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</row>
    <row r="2356" spans="1:19" x14ac:dyDescent="0.2">
      <c r="A2356" s="1"/>
      <c r="C2356" s="1"/>
      <c r="G2356" s="1"/>
      <c r="H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</row>
    <row r="2357" spans="1:19" x14ac:dyDescent="0.2">
      <c r="A2357" s="1"/>
      <c r="C2357" s="1"/>
      <c r="G2357" s="1"/>
      <c r="H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</row>
    <row r="2358" spans="1:19" x14ac:dyDescent="0.2">
      <c r="A2358" s="1"/>
      <c r="C2358" s="1"/>
      <c r="G2358" s="1"/>
      <c r="H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</row>
    <row r="2359" spans="1:19" x14ac:dyDescent="0.2">
      <c r="A2359" s="1"/>
      <c r="C2359" s="1"/>
      <c r="G2359" s="1"/>
      <c r="H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</row>
    <row r="2360" spans="1:19" x14ac:dyDescent="0.2">
      <c r="A2360" s="1"/>
      <c r="C2360" s="1"/>
      <c r="G2360" s="1"/>
      <c r="H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</row>
    <row r="2361" spans="1:19" x14ac:dyDescent="0.2">
      <c r="A2361" s="1"/>
      <c r="C2361" s="1"/>
      <c r="G2361" s="1"/>
      <c r="H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</row>
    <row r="2362" spans="1:19" x14ac:dyDescent="0.2">
      <c r="A2362" s="1"/>
      <c r="C2362" s="1"/>
      <c r="G2362" s="1"/>
      <c r="H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</row>
    <row r="2363" spans="1:19" x14ac:dyDescent="0.2">
      <c r="A2363" s="1"/>
      <c r="C2363" s="1"/>
      <c r="G2363" s="1"/>
      <c r="H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</row>
    <row r="2364" spans="1:19" x14ac:dyDescent="0.2">
      <c r="A2364" s="1"/>
      <c r="C2364" s="1"/>
      <c r="G2364" s="1"/>
      <c r="H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</row>
    <row r="2365" spans="1:19" x14ac:dyDescent="0.2">
      <c r="A2365" s="1"/>
      <c r="C2365" s="1"/>
      <c r="G2365" s="1"/>
      <c r="H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</row>
    <row r="2366" spans="1:19" x14ac:dyDescent="0.2">
      <c r="A2366" s="1"/>
      <c r="C2366" s="1"/>
      <c r="G2366" s="1"/>
      <c r="H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</row>
    <row r="2367" spans="1:19" x14ac:dyDescent="0.2">
      <c r="A2367" s="1"/>
      <c r="C2367" s="1"/>
      <c r="G2367" s="1"/>
      <c r="H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</row>
    <row r="2368" spans="1:19" x14ac:dyDescent="0.2">
      <c r="A2368" s="1"/>
      <c r="C2368" s="1"/>
      <c r="G2368" s="1"/>
      <c r="H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</row>
    <row r="2369" spans="1:19" x14ac:dyDescent="0.2">
      <c r="A2369" s="1"/>
      <c r="C2369" s="1"/>
      <c r="G2369" s="1"/>
      <c r="H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</row>
    <row r="2370" spans="1:19" x14ac:dyDescent="0.2">
      <c r="A2370" s="1"/>
      <c r="C2370" s="1"/>
      <c r="G2370" s="1"/>
      <c r="H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</row>
    <row r="2371" spans="1:19" x14ac:dyDescent="0.2">
      <c r="A2371" s="1"/>
      <c r="C2371" s="1"/>
      <c r="G2371" s="1"/>
      <c r="H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</row>
    <row r="2372" spans="1:19" x14ac:dyDescent="0.2">
      <c r="A2372" s="1"/>
      <c r="C2372" s="1"/>
      <c r="G2372" s="1"/>
      <c r="H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</row>
    <row r="2373" spans="1:19" x14ac:dyDescent="0.2">
      <c r="A2373" s="1"/>
      <c r="C2373" s="1"/>
      <c r="G2373" s="1"/>
      <c r="H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</row>
    <row r="2374" spans="1:19" x14ac:dyDescent="0.2">
      <c r="A2374" s="1"/>
      <c r="C2374" s="1"/>
      <c r="G2374" s="1"/>
      <c r="H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</row>
    <row r="2375" spans="1:19" x14ac:dyDescent="0.2">
      <c r="A2375" s="1"/>
      <c r="C2375" s="1"/>
      <c r="G2375" s="1"/>
      <c r="H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</row>
    <row r="2376" spans="1:19" x14ac:dyDescent="0.2">
      <c r="A2376" s="1"/>
      <c r="C2376" s="1"/>
      <c r="G2376" s="1"/>
      <c r="H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</row>
    <row r="2377" spans="1:19" x14ac:dyDescent="0.2">
      <c r="A2377" s="1"/>
      <c r="C2377" s="1"/>
      <c r="G2377" s="1"/>
      <c r="H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</row>
    <row r="2378" spans="1:19" x14ac:dyDescent="0.2">
      <c r="A2378" s="1"/>
      <c r="C2378" s="1"/>
      <c r="G2378" s="1"/>
      <c r="H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</row>
    <row r="2379" spans="1:19" x14ac:dyDescent="0.2">
      <c r="A2379" s="1"/>
      <c r="C2379" s="1"/>
      <c r="G2379" s="1"/>
      <c r="H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</row>
    <row r="2380" spans="1:19" x14ac:dyDescent="0.2">
      <c r="A2380" s="1"/>
      <c r="C2380" s="1"/>
      <c r="G2380" s="1"/>
      <c r="H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</row>
    <row r="2381" spans="1:19" x14ac:dyDescent="0.2">
      <c r="A2381" s="1"/>
      <c r="C2381" s="1"/>
      <c r="G2381" s="1"/>
      <c r="H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</row>
    <row r="2382" spans="1:19" x14ac:dyDescent="0.2">
      <c r="A2382" s="1"/>
      <c r="C2382" s="1"/>
      <c r="G2382" s="1"/>
      <c r="H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</row>
    <row r="2383" spans="1:19" x14ac:dyDescent="0.2">
      <c r="A2383" s="1"/>
      <c r="C2383" s="1"/>
      <c r="G2383" s="1"/>
      <c r="H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</row>
    <row r="2384" spans="1:19" x14ac:dyDescent="0.2">
      <c r="A2384" s="1"/>
      <c r="C2384" s="1"/>
      <c r="G2384" s="1"/>
      <c r="H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</row>
    <row r="2385" spans="1:19" x14ac:dyDescent="0.2">
      <c r="A2385" s="1"/>
      <c r="C2385" s="1"/>
      <c r="G2385" s="1"/>
      <c r="H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</row>
    <row r="2386" spans="1:19" x14ac:dyDescent="0.2">
      <c r="A2386" s="1"/>
      <c r="C2386" s="1"/>
      <c r="G2386" s="1"/>
      <c r="H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</row>
    <row r="2387" spans="1:19" x14ac:dyDescent="0.2">
      <c r="A2387" s="1"/>
      <c r="C2387" s="1"/>
      <c r="G2387" s="1"/>
      <c r="H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</row>
    <row r="2388" spans="1:19" x14ac:dyDescent="0.2">
      <c r="A2388" s="1"/>
      <c r="C2388" s="1"/>
      <c r="G2388" s="1"/>
      <c r="H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</row>
    <row r="2389" spans="1:19" x14ac:dyDescent="0.2">
      <c r="A2389" s="1"/>
      <c r="C2389" s="1"/>
      <c r="G2389" s="1"/>
      <c r="H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</row>
    <row r="2390" spans="1:19" x14ac:dyDescent="0.2">
      <c r="A2390" s="1"/>
      <c r="C2390" s="1"/>
      <c r="G2390" s="1"/>
      <c r="H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</row>
    <row r="2391" spans="1:19" x14ac:dyDescent="0.2">
      <c r="A2391" s="1"/>
      <c r="C2391" s="1"/>
      <c r="G2391" s="1"/>
      <c r="H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</row>
    <row r="2392" spans="1:19" x14ac:dyDescent="0.2">
      <c r="A2392" s="1"/>
      <c r="C2392" s="1"/>
      <c r="G2392" s="1"/>
      <c r="H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</row>
    <row r="2393" spans="1:19" x14ac:dyDescent="0.2">
      <c r="A2393" s="1"/>
      <c r="C2393" s="1"/>
      <c r="G2393" s="1"/>
      <c r="H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</row>
    <row r="2394" spans="1:19" x14ac:dyDescent="0.2">
      <c r="A2394" s="1"/>
      <c r="C2394" s="1"/>
      <c r="G2394" s="1"/>
      <c r="H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</row>
    <row r="2395" spans="1:19" x14ac:dyDescent="0.2">
      <c r="A2395" s="1"/>
      <c r="C2395" s="1"/>
      <c r="G2395" s="1"/>
      <c r="H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</row>
    <row r="2396" spans="1:19" x14ac:dyDescent="0.2">
      <c r="A2396" s="1"/>
      <c r="C2396" s="1"/>
      <c r="G2396" s="1"/>
      <c r="H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</row>
    <row r="2397" spans="1:19" x14ac:dyDescent="0.2">
      <c r="A2397" s="1"/>
      <c r="C2397" s="1"/>
      <c r="G2397" s="1"/>
      <c r="H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</row>
    <row r="2398" spans="1:19" x14ac:dyDescent="0.2">
      <c r="A2398" s="1"/>
      <c r="C2398" s="1"/>
      <c r="G2398" s="1"/>
      <c r="H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</row>
    <row r="2399" spans="1:19" x14ac:dyDescent="0.2">
      <c r="A2399" s="1"/>
      <c r="C2399" s="1"/>
      <c r="G2399" s="1"/>
      <c r="H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</row>
    <row r="2400" spans="1:19" x14ac:dyDescent="0.2">
      <c r="A2400" s="1"/>
      <c r="C2400" s="1"/>
      <c r="G2400" s="1"/>
      <c r="H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</row>
    <row r="2401" spans="1:19" x14ac:dyDescent="0.2">
      <c r="A2401" s="1"/>
      <c r="C2401" s="1"/>
      <c r="G2401" s="1"/>
      <c r="H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</row>
    <row r="2402" spans="1:19" x14ac:dyDescent="0.2">
      <c r="A2402" s="1"/>
      <c r="C2402" s="1"/>
      <c r="G2402" s="1"/>
      <c r="H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</row>
    <row r="2403" spans="1:19" x14ac:dyDescent="0.2">
      <c r="A2403" s="1"/>
      <c r="C2403" s="1"/>
      <c r="G2403" s="1"/>
      <c r="H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</row>
    <row r="2404" spans="1:19" x14ac:dyDescent="0.2">
      <c r="A2404" s="1"/>
      <c r="C2404" s="1"/>
      <c r="G2404" s="1"/>
      <c r="H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</row>
    <row r="2405" spans="1:19" x14ac:dyDescent="0.2">
      <c r="A2405" s="1"/>
      <c r="C2405" s="1"/>
      <c r="G2405" s="1"/>
      <c r="H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</row>
    <row r="2406" spans="1:19" x14ac:dyDescent="0.2">
      <c r="A2406" s="1"/>
      <c r="C2406" s="1"/>
      <c r="G2406" s="1"/>
      <c r="H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</row>
    <row r="2407" spans="1:19" x14ac:dyDescent="0.2">
      <c r="A2407" s="1"/>
      <c r="C2407" s="1"/>
      <c r="G2407" s="1"/>
      <c r="H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</row>
    <row r="2408" spans="1:19" x14ac:dyDescent="0.2">
      <c r="A2408" s="1"/>
      <c r="C2408" s="1"/>
      <c r="G2408" s="1"/>
      <c r="H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</row>
    <row r="2409" spans="1:19" x14ac:dyDescent="0.2">
      <c r="A2409" s="1"/>
      <c r="C2409" s="1"/>
      <c r="G2409" s="1"/>
      <c r="H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</row>
    <row r="2410" spans="1:19" x14ac:dyDescent="0.2">
      <c r="A2410" s="1"/>
      <c r="C2410" s="1"/>
      <c r="G2410" s="1"/>
      <c r="H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</row>
    <row r="2411" spans="1:19" x14ac:dyDescent="0.2">
      <c r="A2411" s="1"/>
      <c r="C2411" s="1"/>
      <c r="G2411" s="1"/>
      <c r="H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</row>
    <row r="2412" spans="1:19" x14ac:dyDescent="0.2">
      <c r="A2412" s="1"/>
      <c r="C2412" s="1"/>
      <c r="G2412" s="1"/>
      <c r="H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</row>
    <row r="2413" spans="1:19" x14ac:dyDescent="0.2">
      <c r="A2413" s="1"/>
      <c r="C2413" s="1"/>
      <c r="G2413" s="1"/>
      <c r="H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</row>
    <row r="2414" spans="1:19" x14ac:dyDescent="0.2">
      <c r="A2414" s="1"/>
      <c r="C2414" s="1"/>
      <c r="G2414" s="1"/>
      <c r="H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</row>
    <row r="2415" spans="1:19" x14ac:dyDescent="0.2">
      <c r="A2415" s="1"/>
      <c r="C2415" s="1"/>
      <c r="G2415" s="1"/>
      <c r="H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</row>
    <row r="2416" spans="1:19" x14ac:dyDescent="0.2">
      <c r="A2416" s="1"/>
      <c r="C2416" s="1"/>
      <c r="G2416" s="1"/>
      <c r="H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</row>
    <row r="2417" spans="1:19" x14ac:dyDescent="0.2">
      <c r="A2417" s="1"/>
      <c r="C2417" s="1"/>
      <c r="G2417" s="1"/>
      <c r="H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</row>
    <row r="2418" spans="1:19" x14ac:dyDescent="0.2">
      <c r="A2418" s="1"/>
      <c r="C2418" s="1"/>
      <c r="G2418" s="1"/>
      <c r="H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</row>
    <row r="2419" spans="1:19" x14ac:dyDescent="0.2">
      <c r="A2419" s="1"/>
      <c r="C2419" s="1"/>
      <c r="G2419" s="1"/>
      <c r="H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</row>
    <row r="2420" spans="1:19" x14ac:dyDescent="0.2">
      <c r="A2420" s="1"/>
      <c r="C2420" s="1"/>
      <c r="G2420" s="1"/>
      <c r="H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</row>
    <row r="2421" spans="1:19" x14ac:dyDescent="0.2">
      <c r="A2421" s="1"/>
      <c r="C2421" s="1"/>
      <c r="G2421" s="1"/>
      <c r="H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</row>
    <row r="2422" spans="1:19" x14ac:dyDescent="0.2">
      <c r="A2422" s="1"/>
      <c r="C2422" s="1"/>
      <c r="G2422" s="1"/>
      <c r="H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</row>
    <row r="2423" spans="1:19" x14ac:dyDescent="0.2">
      <c r="A2423" s="1"/>
      <c r="C2423" s="1"/>
      <c r="G2423" s="1"/>
      <c r="H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</row>
    <row r="2424" spans="1:19" x14ac:dyDescent="0.2">
      <c r="A2424" s="1"/>
      <c r="C2424" s="1"/>
      <c r="G2424" s="1"/>
      <c r="H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</row>
    <row r="2425" spans="1:19" x14ac:dyDescent="0.2">
      <c r="A2425" s="1"/>
      <c r="C2425" s="1"/>
      <c r="G2425" s="1"/>
      <c r="H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</row>
    <row r="2426" spans="1:19" x14ac:dyDescent="0.2">
      <c r="A2426" s="1"/>
      <c r="C2426" s="1"/>
      <c r="G2426" s="1"/>
      <c r="H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</row>
    <row r="2427" spans="1:19" x14ac:dyDescent="0.2">
      <c r="A2427" s="1"/>
      <c r="C2427" s="1"/>
      <c r="G2427" s="1"/>
      <c r="H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</row>
    <row r="2428" spans="1:19" x14ac:dyDescent="0.2">
      <c r="A2428" s="1"/>
      <c r="C2428" s="1"/>
      <c r="G2428" s="1"/>
      <c r="H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</row>
    <row r="2429" spans="1:19" x14ac:dyDescent="0.2">
      <c r="A2429" s="1"/>
      <c r="C2429" s="1"/>
      <c r="G2429" s="1"/>
      <c r="H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</row>
    <row r="2430" spans="1:19" x14ac:dyDescent="0.2">
      <c r="A2430" s="1"/>
      <c r="C2430" s="1"/>
      <c r="G2430" s="1"/>
      <c r="H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</row>
    <row r="2431" spans="1:19" x14ac:dyDescent="0.2">
      <c r="A2431" s="1"/>
      <c r="C2431" s="1"/>
      <c r="G2431" s="1"/>
      <c r="H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</row>
    <row r="2432" spans="1:19" x14ac:dyDescent="0.2">
      <c r="A2432" s="1"/>
      <c r="C2432" s="1"/>
      <c r="G2432" s="1"/>
      <c r="H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</row>
    <row r="2433" spans="1:19" x14ac:dyDescent="0.2">
      <c r="A2433" s="1"/>
      <c r="C2433" s="1"/>
      <c r="G2433" s="1"/>
      <c r="H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</row>
    <row r="2434" spans="1:19" x14ac:dyDescent="0.2">
      <c r="A2434" s="1"/>
      <c r="C2434" s="1"/>
      <c r="G2434" s="1"/>
      <c r="H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</row>
    <row r="2435" spans="1:19" x14ac:dyDescent="0.2">
      <c r="A2435" s="1"/>
      <c r="C2435" s="1"/>
      <c r="G2435" s="1"/>
      <c r="H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</row>
    <row r="2436" spans="1:19" x14ac:dyDescent="0.2">
      <c r="A2436" s="1"/>
      <c r="C2436" s="1"/>
      <c r="G2436" s="1"/>
      <c r="H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</row>
    <row r="2437" spans="1:19" x14ac:dyDescent="0.2">
      <c r="A2437" s="1"/>
      <c r="C2437" s="1"/>
      <c r="G2437" s="1"/>
      <c r="H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</row>
    <row r="2438" spans="1:19" x14ac:dyDescent="0.2">
      <c r="A2438" s="1"/>
      <c r="C2438" s="1"/>
      <c r="G2438" s="1"/>
      <c r="H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</row>
    <row r="2439" spans="1:19" x14ac:dyDescent="0.2">
      <c r="A2439" s="1"/>
      <c r="C2439" s="1"/>
      <c r="G2439" s="1"/>
      <c r="H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</row>
    <row r="2440" spans="1:19" x14ac:dyDescent="0.2">
      <c r="A2440" s="1"/>
      <c r="C2440" s="1"/>
      <c r="G2440" s="1"/>
      <c r="H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</row>
    <row r="2441" spans="1:19" x14ac:dyDescent="0.2">
      <c r="A2441" s="1"/>
      <c r="C2441" s="1"/>
      <c r="G2441" s="1"/>
      <c r="H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</row>
    <row r="2442" spans="1:19" x14ac:dyDescent="0.2">
      <c r="A2442" s="1"/>
      <c r="C2442" s="1"/>
      <c r="G2442" s="1"/>
      <c r="H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</row>
    <row r="2443" spans="1:19" x14ac:dyDescent="0.2">
      <c r="A2443" s="1"/>
      <c r="C2443" s="1"/>
      <c r="G2443" s="1"/>
      <c r="H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</row>
    <row r="2444" spans="1:19" x14ac:dyDescent="0.2">
      <c r="A2444" s="1"/>
      <c r="C2444" s="1"/>
      <c r="G2444" s="1"/>
      <c r="H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</row>
    <row r="2445" spans="1:19" x14ac:dyDescent="0.2">
      <c r="A2445" s="1"/>
      <c r="C2445" s="1"/>
      <c r="G2445" s="1"/>
      <c r="H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</row>
    <row r="2446" spans="1:19" x14ac:dyDescent="0.2">
      <c r="A2446" s="1"/>
      <c r="C2446" s="1"/>
      <c r="G2446" s="1"/>
      <c r="H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</row>
    <row r="2447" spans="1:19" x14ac:dyDescent="0.2">
      <c r="A2447" s="1"/>
      <c r="C2447" s="1"/>
      <c r="G2447" s="1"/>
      <c r="H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</row>
    <row r="2448" spans="1:19" x14ac:dyDescent="0.2">
      <c r="A2448" s="1"/>
      <c r="C2448" s="1"/>
      <c r="G2448" s="1"/>
      <c r="H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</row>
    <row r="2449" spans="1:19" x14ac:dyDescent="0.2">
      <c r="A2449" s="1"/>
      <c r="C2449" s="1"/>
      <c r="G2449" s="1"/>
      <c r="H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</row>
    <row r="2450" spans="1:19" x14ac:dyDescent="0.2">
      <c r="A2450" s="1"/>
      <c r="C2450" s="1"/>
      <c r="G2450" s="1"/>
      <c r="H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</row>
    <row r="2451" spans="1:19" x14ac:dyDescent="0.2">
      <c r="A2451" s="1"/>
      <c r="C2451" s="1"/>
      <c r="G2451" s="1"/>
      <c r="H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</row>
    <row r="2452" spans="1:19" x14ac:dyDescent="0.2">
      <c r="A2452" s="1"/>
      <c r="C2452" s="1"/>
      <c r="G2452" s="1"/>
      <c r="H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</row>
    <row r="2453" spans="1:19" x14ac:dyDescent="0.2">
      <c r="A2453" s="1"/>
      <c r="C2453" s="1"/>
      <c r="G2453" s="1"/>
      <c r="H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</row>
    <row r="2454" spans="1:19" x14ac:dyDescent="0.2">
      <c r="A2454" s="1"/>
      <c r="C2454" s="1"/>
      <c r="G2454" s="1"/>
      <c r="H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</row>
    <row r="2455" spans="1:19" x14ac:dyDescent="0.2">
      <c r="A2455" s="1"/>
      <c r="C2455" s="1"/>
      <c r="G2455" s="1"/>
      <c r="H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</row>
    <row r="2456" spans="1:19" x14ac:dyDescent="0.2">
      <c r="A2456" s="1"/>
      <c r="C2456" s="1"/>
      <c r="G2456" s="1"/>
      <c r="H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</row>
    <row r="2457" spans="1:19" x14ac:dyDescent="0.2">
      <c r="A2457" s="1"/>
      <c r="C2457" s="1"/>
      <c r="G2457" s="1"/>
      <c r="H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</row>
    <row r="2458" spans="1:19" x14ac:dyDescent="0.2">
      <c r="A2458" s="1"/>
      <c r="C2458" s="1"/>
      <c r="G2458" s="1"/>
      <c r="H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</row>
    <row r="2459" spans="1:19" x14ac:dyDescent="0.2">
      <c r="A2459" s="1"/>
      <c r="C2459" s="1"/>
      <c r="G2459" s="1"/>
      <c r="H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</row>
    <row r="2460" spans="1:19" x14ac:dyDescent="0.2">
      <c r="A2460" s="1"/>
      <c r="C2460" s="1"/>
      <c r="G2460" s="1"/>
      <c r="H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</row>
    <row r="2461" spans="1:19" x14ac:dyDescent="0.2">
      <c r="A2461" s="1"/>
      <c r="C2461" s="1"/>
      <c r="G2461" s="1"/>
      <c r="H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</row>
    <row r="2462" spans="1:19" x14ac:dyDescent="0.2">
      <c r="A2462" s="1"/>
      <c r="C2462" s="1"/>
      <c r="G2462" s="1"/>
      <c r="H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</row>
    <row r="2463" spans="1:19" x14ac:dyDescent="0.2">
      <c r="A2463" s="1"/>
      <c r="C2463" s="1"/>
      <c r="G2463" s="1"/>
      <c r="H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</row>
    <row r="2464" spans="1:19" x14ac:dyDescent="0.2">
      <c r="A2464" s="1"/>
      <c r="C2464" s="1"/>
      <c r="G2464" s="1"/>
      <c r="H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</row>
    <row r="2465" spans="1:19" x14ac:dyDescent="0.2">
      <c r="A2465" s="1"/>
      <c r="C2465" s="1"/>
      <c r="G2465" s="1"/>
      <c r="H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</row>
    <row r="2466" spans="1:19" x14ac:dyDescent="0.2">
      <c r="A2466" s="1"/>
      <c r="C2466" s="1"/>
      <c r="G2466" s="1"/>
      <c r="H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</row>
    <row r="2467" spans="1:19" x14ac:dyDescent="0.2">
      <c r="A2467" s="1"/>
      <c r="C2467" s="1"/>
      <c r="G2467" s="1"/>
      <c r="H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</row>
    <row r="2468" spans="1:19" x14ac:dyDescent="0.2">
      <c r="A2468" s="1"/>
      <c r="C2468" s="1"/>
      <c r="G2468" s="1"/>
      <c r="H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</row>
    <row r="2469" spans="1:19" x14ac:dyDescent="0.2">
      <c r="A2469" s="1"/>
      <c r="C2469" s="1"/>
      <c r="G2469" s="1"/>
      <c r="H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</row>
    <row r="2470" spans="1:19" x14ac:dyDescent="0.2">
      <c r="A2470" s="1"/>
      <c r="C2470" s="1"/>
      <c r="G2470" s="1"/>
      <c r="H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</row>
    <row r="2471" spans="1:19" x14ac:dyDescent="0.2">
      <c r="A2471" s="1"/>
      <c r="C2471" s="1"/>
      <c r="G2471" s="1"/>
      <c r="H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</row>
    <row r="2472" spans="1:19" x14ac:dyDescent="0.2">
      <c r="A2472" s="1"/>
      <c r="C2472" s="1"/>
      <c r="G2472" s="1"/>
      <c r="H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</row>
    <row r="2473" spans="1:19" x14ac:dyDescent="0.2">
      <c r="A2473" s="1"/>
      <c r="C2473" s="1"/>
      <c r="G2473" s="1"/>
      <c r="H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</row>
    <row r="2474" spans="1:19" x14ac:dyDescent="0.2">
      <c r="A2474" s="1"/>
      <c r="C2474" s="1"/>
      <c r="G2474" s="1"/>
      <c r="H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</row>
    <row r="2475" spans="1:19" x14ac:dyDescent="0.2">
      <c r="A2475" s="1"/>
      <c r="C2475" s="1"/>
      <c r="G2475" s="1"/>
      <c r="H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</row>
    <row r="2476" spans="1:19" x14ac:dyDescent="0.2">
      <c r="A2476" s="1"/>
      <c r="C2476" s="1"/>
      <c r="G2476" s="1"/>
      <c r="H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</row>
    <row r="2477" spans="1:19" x14ac:dyDescent="0.2">
      <c r="A2477" s="1"/>
      <c r="C2477" s="1"/>
      <c r="G2477" s="1"/>
      <c r="H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</row>
    <row r="2478" spans="1:19" x14ac:dyDescent="0.2">
      <c r="A2478" s="1"/>
      <c r="C2478" s="1"/>
      <c r="G2478" s="1"/>
      <c r="H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</row>
    <row r="2479" spans="1:19" x14ac:dyDescent="0.2">
      <c r="A2479" s="1"/>
      <c r="C2479" s="1"/>
      <c r="G2479" s="1"/>
      <c r="H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</row>
    <row r="2480" spans="1:19" x14ac:dyDescent="0.2">
      <c r="A2480" s="1"/>
      <c r="C2480" s="1"/>
      <c r="G2480" s="1"/>
      <c r="H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</row>
    <row r="2481" spans="1:19" x14ac:dyDescent="0.2">
      <c r="A2481" s="1"/>
      <c r="C2481" s="1"/>
      <c r="G2481" s="1"/>
      <c r="H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</row>
    <row r="2482" spans="1:19" x14ac:dyDescent="0.2">
      <c r="A2482" s="1"/>
      <c r="C2482" s="1"/>
      <c r="G2482" s="1"/>
      <c r="H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</row>
    <row r="2483" spans="1:19" x14ac:dyDescent="0.2">
      <c r="A2483" s="1"/>
      <c r="C2483" s="1"/>
      <c r="G2483" s="1"/>
      <c r="H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</row>
    <row r="2484" spans="1:19" x14ac:dyDescent="0.2">
      <c r="A2484" s="1"/>
      <c r="C2484" s="1"/>
      <c r="G2484" s="1"/>
      <c r="H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</row>
    <row r="2485" spans="1:19" x14ac:dyDescent="0.2">
      <c r="A2485" s="1"/>
      <c r="C2485" s="1"/>
      <c r="G2485" s="1"/>
      <c r="H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</row>
    <row r="2486" spans="1:19" x14ac:dyDescent="0.2">
      <c r="A2486" s="1"/>
      <c r="C2486" s="1"/>
      <c r="G2486" s="1"/>
      <c r="H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</row>
    <row r="2487" spans="1:19" x14ac:dyDescent="0.2">
      <c r="A2487" s="1"/>
      <c r="C2487" s="1"/>
      <c r="G2487" s="1"/>
      <c r="H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</row>
    <row r="2488" spans="1:19" x14ac:dyDescent="0.2">
      <c r="A2488" s="1"/>
      <c r="C2488" s="1"/>
      <c r="G2488" s="1"/>
      <c r="H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</row>
    <row r="2489" spans="1:19" x14ac:dyDescent="0.2">
      <c r="A2489" s="1"/>
      <c r="C2489" s="1"/>
      <c r="G2489" s="1"/>
      <c r="H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</row>
    <row r="2490" spans="1:19" x14ac:dyDescent="0.2">
      <c r="A2490" s="1"/>
      <c r="C2490" s="1"/>
      <c r="G2490" s="1"/>
      <c r="H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</row>
    <row r="2491" spans="1:19" x14ac:dyDescent="0.2">
      <c r="A2491" s="1"/>
      <c r="C2491" s="1"/>
      <c r="G2491" s="1"/>
      <c r="H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</row>
    <row r="2492" spans="1:19" x14ac:dyDescent="0.2">
      <c r="A2492" s="1"/>
      <c r="C2492" s="1"/>
      <c r="G2492" s="1"/>
      <c r="H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</row>
    <row r="2493" spans="1:19" x14ac:dyDescent="0.2">
      <c r="A2493" s="1"/>
      <c r="C2493" s="1"/>
      <c r="G2493" s="1"/>
      <c r="H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</row>
    <row r="2494" spans="1:19" x14ac:dyDescent="0.2">
      <c r="A2494" s="1"/>
      <c r="C2494" s="1"/>
      <c r="G2494" s="1"/>
      <c r="H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</row>
    <row r="2495" spans="1:19" x14ac:dyDescent="0.2">
      <c r="A2495" s="1"/>
      <c r="C2495" s="1"/>
      <c r="G2495" s="1"/>
      <c r="H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</row>
    <row r="2496" spans="1:19" x14ac:dyDescent="0.2">
      <c r="A2496" s="1"/>
      <c r="C2496" s="1"/>
      <c r="G2496" s="1"/>
      <c r="H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</row>
    <row r="2497" spans="1:19" x14ac:dyDescent="0.2">
      <c r="A2497" s="1"/>
      <c r="C2497" s="1"/>
      <c r="G2497" s="1"/>
      <c r="H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</row>
    <row r="2498" spans="1:19" x14ac:dyDescent="0.2">
      <c r="A2498" s="1"/>
      <c r="C2498" s="1"/>
      <c r="G2498" s="1"/>
      <c r="H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</row>
    <row r="2499" spans="1:19" x14ac:dyDescent="0.2">
      <c r="A2499" s="1"/>
      <c r="C2499" s="1"/>
      <c r="G2499" s="1"/>
      <c r="H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</row>
    <row r="2500" spans="1:19" x14ac:dyDescent="0.2">
      <c r="A2500" s="1"/>
      <c r="C2500" s="1"/>
      <c r="G2500" s="1"/>
      <c r="H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</row>
    <row r="2501" spans="1:19" x14ac:dyDescent="0.2">
      <c r="A2501" s="1"/>
      <c r="C2501" s="1"/>
      <c r="G2501" s="1"/>
      <c r="H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</row>
    <row r="2502" spans="1:19" x14ac:dyDescent="0.2">
      <c r="A2502" s="1"/>
      <c r="C2502" s="1"/>
      <c r="G2502" s="1"/>
      <c r="H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</row>
    <row r="2503" spans="1:19" x14ac:dyDescent="0.2">
      <c r="A2503" s="1"/>
      <c r="C2503" s="1"/>
      <c r="G2503" s="1"/>
      <c r="H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</row>
    <row r="2504" spans="1:19" x14ac:dyDescent="0.2">
      <c r="A2504" s="1"/>
      <c r="C2504" s="1"/>
      <c r="G2504" s="1"/>
      <c r="H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</row>
    <row r="2505" spans="1:19" x14ac:dyDescent="0.2">
      <c r="A2505" s="1"/>
      <c r="C2505" s="1"/>
      <c r="G2505" s="1"/>
      <c r="H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</row>
    <row r="2506" spans="1:19" x14ac:dyDescent="0.2">
      <c r="A2506" s="1"/>
      <c r="C2506" s="1"/>
      <c r="G2506" s="1"/>
      <c r="H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</row>
    <row r="2507" spans="1:19" x14ac:dyDescent="0.2">
      <c r="A2507" s="1"/>
      <c r="C2507" s="1"/>
      <c r="G2507" s="1"/>
      <c r="H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</row>
    <row r="2508" spans="1:19" x14ac:dyDescent="0.2">
      <c r="A2508" s="1"/>
      <c r="C2508" s="1"/>
      <c r="G2508" s="1"/>
      <c r="H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</row>
    <row r="2509" spans="1:19" x14ac:dyDescent="0.2">
      <c r="A2509" s="1"/>
      <c r="C2509" s="1"/>
      <c r="G2509" s="1"/>
      <c r="H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</row>
    <row r="2510" spans="1:19" x14ac:dyDescent="0.2">
      <c r="A2510" s="1"/>
      <c r="C2510" s="1"/>
      <c r="G2510" s="1"/>
      <c r="H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</row>
    <row r="2511" spans="1:19" x14ac:dyDescent="0.2">
      <c r="A2511" s="1"/>
      <c r="C2511" s="1"/>
      <c r="G2511" s="1"/>
      <c r="H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</row>
    <row r="2512" spans="1:19" x14ac:dyDescent="0.2">
      <c r="A2512" s="1"/>
      <c r="C2512" s="1"/>
      <c r="G2512" s="1"/>
      <c r="H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</row>
    <row r="2513" spans="1:19" x14ac:dyDescent="0.2">
      <c r="A2513" s="1"/>
      <c r="C2513" s="1"/>
      <c r="G2513" s="1"/>
      <c r="H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</row>
    <row r="2514" spans="1:19" x14ac:dyDescent="0.2">
      <c r="A2514" s="1"/>
      <c r="C2514" s="1"/>
      <c r="G2514" s="1"/>
      <c r="H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</row>
    <row r="2515" spans="1:19" x14ac:dyDescent="0.2">
      <c r="A2515" s="1"/>
      <c r="C2515" s="1"/>
      <c r="G2515" s="1"/>
      <c r="H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</row>
    <row r="2516" spans="1:19" x14ac:dyDescent="0.2">
      <c r="A2516" s="1"/>
      <c r="C2516" s="1"/>
      <c r="G2516" s="1"/>
      <c r="H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</row>
    <row r="2517" spans="1:19" x14ac:dyDescent="0.2">
      <c r="A2517" s="1"/>
      <c r="C2517" s="1"/>
      <c r="G2517" s="1"/>
      <c r="H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</row>
    <row r="2518" spans="1:19" x14ac:dyDescent="0.2">
      <c r="A2518" s="1"/>
      <c r="C2518" s="1"/>
      <c r="G2518" s="1"/>
      <c r="H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</row>
    <row r="2519" spans="1:19" x14ac:dyDescent="0.2">
      <c r="A2519" s="1"/>
      <c r="C2519" s="1"/>
      <c r="G2519" s="1"/>
      <c r="H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</row>
    <row r="2520" spans="1:19" x14ac:dyDescent="0.2">
      <c r="A2520" s="1"/>
      <c r="C2520" s="1"/>
      <c r="G2520" s="1"/>
      <c r="H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</row>
    <row r="2521" spans="1:19" x14ac:dyDescent="0.2">
      <c r="A2521" s="1"/>
      <c r="C2521" s="1"/>
      <c r="G2521" s="1"/>
      <c r="H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</row>
    <row r="2522" spans="1:19" x14ac:dyDescent="0.2">
      <c r="A2522" s="1"/>
      <c r="C2522" s="1"/>
      <c r="G2522" s="1"/>
      <c r="H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</row>
    <row r="2523" spans="1:19" x14ac:dyDescent="0.2">
      <c r="A2523" s="1"/>
      <c r="C2523" s="1"/>
      <c r="G2523" s="1"/>
      <c r="H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</row>
    <row r="2524" spans="1:19" x14ac:dyDescent="0.2">
      <c r="A2524" s="1"/>
      <c r="C2524" s="1"/>
      <c r="G2524" s="1"/>
      <c r="H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</row>
    <row r="2525" spans="1:19" x14ac:dyDescent="0.2">
      <c r="A2525" s="1"/>
      <c r="C2525" s="1"/>
      <c r="G2525" s="1"/>
      <c r="H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</row>
    <row r="2526" spans="1:19" x14ac:dyDescent="0.2">
      <c r="A2526" s="1"/>
      <c r="C2526" s="1"/>
      <c r="G2526" s="1"/>
      <c r="H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</row>
    <row r="2527" spans="1:19" x14ac:dyDescent="0.2">
      <c r="A2527" s="1"/>
      <c r="C2527" s="1"/>
      <c r="G2527" s="1"/>
      <c r="H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</row>
    <row r="2528" spans="1:19" x14ac:dyDescent="0.2">
      <c r="A2528" s="1"/>
      <c r="C2528" s="1"/>
      <c r="G2528" s="1"/>
      <c r="H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</row>
    <row r="2529" spans="1:19" x14ac:dyDescent="0.2">
      <c r="A2529" s="1"/>
      <c r="C2529" s="1"/>
      <c r="G2529" s="1"/>
      <c r="H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</row>
    <row r="2530" spans="1:19" x14ac:dyDescent="0.2">
      <c r="A2530" s="1"/>
      <c r="C2530" s="1"/>
      <c r="G2530" s="1"/>
      <c r="H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</row>
    <row r="2531" spans="1:19" x14ac:dyDescent="0.2">
      <c r="A2531" s="1"/>
      <c r="C2531" s="1"/>
      <c r="G2531" s="1"/>
      <c r="H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</row>
    <row r="2532" spans="1:19" x14ac:dyDescent="0.2">
      <c r="A2532" s="1"/>
      <c r="C2532" s="1"/>
      <c r="G2532" s="1"/>
      <c r="H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</row>
    <row r="2533" spans="1:19" x14ac:dyDescent="0.2">
      <c r="A2533" s="1"/>
      <c r="C2533" s="1"/>
      <c r="G2533" s="1"/>
      <c r="H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</row>
    <row r="2534" spans="1:19" x14ac:dyDescent="0.2">
      <c r="A2534" s="1"/>
      <c r="C2534" s="1"/>
      <c r="G2534" s="1"/>
      <c r="H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</row>
    <row r="2535" spans="1:19" x14ac:dyDescent="0.2">
      <c r="A2535" s="1"/>
      <c r="C2535" s="1"/>
      <c r="G2535" s="1"/>
      <c r="H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</row>
    <row r="2536" spans="1:19" x14ac:dyDescent="0.2">
      <c r="A2536" s="1"/>
      <c r="C2536" s="1"/>
      <c r="G2536" s="1"/>
      <c r="H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</row>
    <row r="2537" spans="1:19" x14ac:dyDescent="0.2">
      <c r="A2537" s="1"/>
      <c r="C2537" s="1"/>
      <c r="G2537" s="1"/>
      <c r="H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</row>
    <row r="2538" spans="1:19" x14ac:dyDescent="0.2">
      <c r="A2538" s="1"/>
      <c r="C2538" s="1"/>
      <c r="G2538" s="1"/>
      <c r="H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</row>
    <row r="2539" spans="1:19" x14ac:dyDescent="0.2">
      <c r="A2539" s="1"/>
      <c r="C2539" s="1"/>
      <c r="G2539" s="1"/>
      <c r="H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</row>
    <row r="2540" spans="1:19" x14ac:dyDescent="0.2">
      <c r="A2540" s="1"/>
      <c r="C2540" s="1"/>
      <c r="G2540" s="1"/>
      <c r="H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</row>
    <row r="2541" spans="1:19" x14ac:dyDescent="0.2">
      <c r="A2541" s="1"/>
      <c r="C2541" s="1"/>
      <c r="G2541" s="1"/>
      <c r="H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</row>
    <row r="2542" spans="1:19" x14ac:dyDescent="0.2">
      <c r="A2542" s="1"/>
      <c r="C2542" s="1"/>
      <c r="G2542" s="1"/>
      <c r="H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</row>
    <row r="2543" spans="1:19" x14ac:dyDescent="0.2">
      <c r="A2543" s="1"/>
      <c r="C2543" s="1"/>
      <c r="G2543" s="1"/>
      <c r="H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</row>
    <row r="2544" spans="1:19" x14ac:dyDescent="0.2">
      <c r="A2544" s="1"/>
      <c r="C2544" s="1"/>
      <c r="G2544" s="1"/>
      <c r="H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</row>
    <row r="2545" spans="1:19" x14ac:dyDescent="0.2">
      <c r="A2545" s="1"/>
      <c r="C2545" s="1"/>
      <c r="G2545" s="1"/>
      <c r="H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</row>
    <row r="2546" spans="1:19" x14ac:dyDescent="0.2">
      <c r="A2546" s="1"/>
      <c r="C2546" s="1"/>
      <c r="G2546" s="1"/>
      <c r="H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</row>
    <row r="2547" spans="1:19" x14ac:dyDescent="0.2">
      <c r="A2547" s="1"/>
      <c r="C2547" s="1"/>
      <c r="G2547" s="1"/>
      <c r="H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</row>
    <row r="2548" spans="1:19" x14ac:dyDescent="0.2">
      <c r="A2548" s="1"/>
      <c r="C2548" s="1"/>
      <c r="G2548" s="1"/>
      <c r="H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</row>
    <row r="2549" spans="1:19" x14ac:dyDescent="0.2">
      <c r="A2549" s="1"/>
      <c r="C2549" s="1"/>
      <c r="G2549" s="1"/>
      <c r="H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</row>
    <row r="2550" spans="1:19" x14ac:dyDescent="0.2">
      <c r="A2550" s="1"/>
      <c r="C2550" s="1"/>
      <c r="G2550" s="1"/>
      <c r="H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</row>
    <row r="2551" spans="1:19" x14ac:dyDescent="0.2">
      <c r="A2551" s="1"/>
      <c r="C2551" s="1"/>
      <c r="G2551" s="1"/>
      <c r="H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</row>
    <row r="2552" spans="1:19" x14ac:dyDescent="0.2">
      <c r="A2552" s="1"/>
      <c r="C2552" s="1"/>
      <c r="G2552" s="1"/>
      <c r="H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</row>
    <row r="2553" spans="1:19" x14ac:dyDescent="0.2">
      <c r="A2553" s="1"/>
      <c r="C2553" s="1"/>
      <c r="G2553" s="1"/>
      <c r="H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</row>
    <row r="2554" spans="1:19" x14ac:dyDescent="0.2">
      <c r="A2554" s="1"/>
      <c r="C2554" s="1"/>
      <c r="G2554" s="1"/>
      <c r="H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</row>
    <row r="2555" spans="1:19" x14ac:dyDescent="0.2">
      <c r="A2555" s="1"/>
      <c r="C2555" s="1"/>
      <c r="G2555" s="1"/>
      <c r="H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</row>
    <row r="2556" spans="1:19" x14ac:dyDescent="0.2">
      <c r="A2556" s="1"/>
      <c r="C2556" s="1"/>
      <c r="G2556" s="1"/>
      <c r="H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</row>
    <row r="2557" spans="1:19" x14ac:dyDescent="0.2">
      <c r="A2557" s="1"/>
      <c r="C2557" s="1"/>
      <c r="G2557" s="1"/>
      <c r="H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</row>
    <row r="2558" spans="1:19" x14ac:dyDescent="0.2">
      <c r="A2558" s="1"/>
      <c r="C2558" s="1"/>
      <c r="G2558" s="1"/>
      <c r="H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</row>
    <row r="2559" spans="1:19" x14ac:dyDescent="0.2">
      <c r="A2559" s="1"/>
      <c r="C2559" s="1"/>
      <c r="G2559" s="1"/>
      <c r="H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</row>
    <row r="2560" spans="1:19" x14ac:dyDescent="0.2">
      <c r="A2560" s="1"/>
      <c r="C2560" s="1"/>
      <c r="G2560" s="1"/>
      <c r="H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</row>
    <row r="2561" spans="1:19" x14ac:dyDescent="0.2">
      <c r="A2561" s="1"/>
      <c r="C2561" s="1"/>
      <c r="G2561" s="1"/>
      <c r="H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</row>
    <row r="2562" spans="1:19" x14ac:dyDescent="0.2">
      <c r="A2562" s="1"/>
      <c r="C2562" s="1"/>
      <c r="G2562" s="1"/>
      <c r="H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</row>
    <row r="2563" spans="1:19" x14ac:dyDescent="0.2">
      <c r="A2563" s="1"/>
      <c r="C2563" s="1"/>
      <c r="G2563" s="1"/>
      <c r="H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</row>
    <row r="2564" spans="1:19" x14ac:dyDescent="0.2">
      <c r="A2564" s="1"/>
      <c r="C2564" s="1"/>
      <c r="G2564" s="1"/>
      <c r="H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</row>
    <row r="2565" spans="1:19" x14ac:dyDescent="0.2">
      <c r="A2565" s="1"/>
      <c r="C2565" s="1"/>
      <c r="G2565" s="1"/>
      <c r="H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</row>
    <row r="2566" spans="1:19" x14ac:dyDescent="0.2">
      <c r="A2566" s="1"/>
      <c r="C2566" s="1"/>
      <c r="G2566" s="1"/>
      <c r="H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</row>
    <row r="2567" spans="1:19" x14ac:dyDescent="0.2">
      <c r="A2567" s="1"/>
      <c r="C2567" s="1"/>
      <c r="G2567" s="1"/>
      <c r="H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</row>
    <row r="2568" spans="1:19" x14ac:dyDescent="0.2">
      <c r="A2568" s="1"/>
      <c r="C2568" s="1"/>
      <c r="G2568" s="1"/>
      <c r="H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</row>
    <row r="2569" spans="1:19" x14ac:dyDescent="0.2">
      <c r="A2569" s="1"/>
      <c r="C2569" s="1"/>
      <c r="G2569" s="1"/>
      <c r="H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</row>
    <row r="2570" spans="1:19" x14ac:dyDescent="0.2">
      <c r="A2570" s="1"/>
      <c r="C2570" s="1"/>
      <c r="G2570" s="1"/>
      <c r="H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</row>
    <row r="2571" spans="1:19" x14ac:dyDescent="0.2">
      <c r="A2571" s="1"/>
      <c r="C2571" s="1"/>
      <c r="G2571" s="1"/>
      <c r="H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</row>
    <row r="2572" spans="1:19" x14ac:dyDescent="0.2">
      <c r="A2572" s="1"/>
      <c r="C2572" s="1"/>
      <c r="G2572" s="1"/>
      <c r="H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</row>
    <row r="2573" spans="1:19" x14ac:dyDescent="0.2">
      <c r="A2573" s="1"/>
      <c r="C2573" s="1"/>
      <c r="G2573" s="1"/>
      <c r="H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</row>
    <row r="2574" spans="1:19" x14ac:dyDescent="0.2">
      <c r="A2574" s="1"/>
      <c r="C2574" s="1"/>
      <c r="G2574" s="1"/>
      <c r="H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</row>
    <row r="2575" spans="1:19" x14ac:dyDescent="0.2">
      <c r="A2575" s="1"/>
      <c r="C2575" s="1"/>
      <c r="G2575" s="1"/>
      <c r="H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</row>
    <row r="2576" spans="1:19" x14ac:dyDescent="0.2">
      <c r="A2576" s="1"/>
      <c r="C2576" s="1"/>
      <c r="G2576" s="1"/>
      <c r="H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</row>
    <row r="2577" spans="1:19" x14ac:dyDescent="0.2">
      <c r="A2577" s="1"/>
      <c r="C2577" s="1"/>
      <c r="G2577" s="1"/>
      <c r="H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</row>
    <row r="2578" spans="1:19" x14ac:dyDescent="0.2">
      <c r="A2578" s="1"/>
      <c r="C2578" s="1"/>
      <c r="G2578" s="1"/>
      <c r="H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</row>
    <row r="2579" spans="1:19" x14ac:dyDescent="0.2">
      <c r="A2579" s="1"/>
      <c r="C2579" s="1"/>
      <c r="G2579" s="1"/>
      <c r="H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</row>
    <row r="2580" spans="1:19" x14ac:dyDescent="0.2">
      <c r="A2580" s="1"/>
      <c r="C2580" s="1"/>
      <c r="G2580" s="1"/>
      <c r="H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</row>
    <row r="2581" spans="1:19" x14ac:dyDescent="0.2">
      <c r="A2581" s="1"/>
      <c r="C2581" s="1"/>
      <c r="G2581" s="1"/>
      <c r="H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</row>
    <row r="2582" spans="1:19" x14ac:dyDescent="0.2">
      <c r="A2582" s="1"/>
      <c r="C2582" s="1"/>
      <c r="G2582" s="1"/>
      <c r="H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</row>
    <row r="2583" spans="1:19" x14ac:dyDescent="0.2">
      <c r="A2583" s="1"/>
      <c r="C2583" s="1"/>
      <c r="G2583" s="1"/>
      <c r="H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</row>
    <row r="2584" spans="1:19" x14ac:dyDescent="0.2">
      <c r="A2584" s="1"/>
      <c r="C2584" s="1"/>
      <c r="G2584" s="1"/>
      <c r="H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</row>
    <row r="2585" spans="1:19" x14ac:dyDescent="0.2">
      <c r="A2585" s="1"/>
      <c r="C2585" s="1"/>
      <c r="G2585" s="1"/>
      <c r="H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</row>
    <row r="2586" spans="1:19" x14ac:dyDescent="0.2">
      <c r="A2586" s="1"/>
      <c r="C2586" s="1"/>
      <c r="G2586" s="1"/>
      <c r="H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</row>
    <row r="2587" spans="1:19" x14ac:dyDescent="0.2">
      <c r="A2587" s="1"/>
      <c r="C2587" s="1"/>
      <c r="G2587" s="1"/>
      <c r="H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</row>
    <row r="2588" spans="1:19" x14ac:dyDescent="0.2">
      <c r="A2588" s="1"/>
      <c r="C2588" s="1"/>
      <c r="G2588" s="1"/>
      <c r="H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</row>
    <row r="2589" spans="1:19" x14ac:dyDescent="0.2">
      <c r="A2589" s="1"/>
      <c r="C2589" s="1"/>
      <c r="G2589" s="1"/>
      <c r="H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</row>
    <row r="2590" spans="1:19" x14ac:dyDescent="0.2">
      <c r="A2590" s="1"/>
      <c r="C2590" s="1"/>
      <c r="G2590" s="1"/>
      <c r="H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</row>
    <row r="2591" spans="1:19" x14ac:dyDescent="0.2">
      <c r="A2591" s="1"/>
      <c r="C2591" s="1"/>
      <c r="G2591" s="1"/>
      <c r="H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</row>
    <row r="2592" spans="1:19" x14ac:dyDescent="0.2">
      <c r="A2592" s="1"/>
      <c r="C2592" s="1"/>
      <c r="G2592" s="1"/>
      <c r="H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</row>
    <row r="2593" spans="1:19" x14ac:dyDescent="0.2">
      <c r="A2593" s="1"/>
      <c r="C2593" s="1"/>
      <c r="G2593" s="1"/>
      <c r="H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</row>
    <row r="2594" spans="1:19" x14ac:dyDescent="0.2">
      <c r="A2594" s="1"/>
      <c r="C2594" s="1"/>
      <c r="G2594" s="1"/>
      <c r="H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</row>
    <row r="2595" spans="1:19" x14ac:dyDescent="0.2">
      <c r="A2595" s="1"/>
      <c r="C2595" s="1"/>
      <c r="G2595" s="1"/>
      <c r="H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</row>
    <row r="2596" spans="1:19" x14ac:dyDescent="0.2">
      <c r="A2596" s="1"/>
      <c r="C2596" s="1"/>
      <c r="G2596" s="1"/>
      <c r="H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</row>
    <row r="2597" spans="1:19" x14ac:dyDescent="0.2">
      <c r="A2597" s="1"/>
      <c r="C2597" s="1"/>
      <c r="G2597" s="1"/>
      <c r="H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</row>
    <row r="2598" spans="1:19" x14ac:dyDescent="0.2">
      <c r="A2598" s="1"/>
      <c r="C2598" s="1"/>
      <c r="G2598" s="1"/>
      <c r="H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</row>
    <row r="2599" spans="1:19" x14ac:dyDescent="0.2">
      <c r="A2599" s="1"/>
      <c r="C2599" s="1"/>
      <c r="G2599" s="1"/>
      <c r="H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</row>
    <row r="2600" spans="1:19" x14ac:dyDescent="0.2">
      <c r="A2600" s="1"/>
      <c r="C2600" s="1"/>
      <c r="G2600" s="1"/>
      <c r="H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</row>
    <row r="2601" spans="1:19" x14ac:dyDescent="0.2">
      <c r="A2601" s="1"/>
      <c r="C2601" s="1"/>
      <c r="G2601" s="1"/>
      <c r="H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</row>
    <row r="2602" spans="1:19" x14ac:dyDescent="0.2">
      <c r="A2602" s="1"/>
      <c r="C2602" s="1"/>
      <c r="G2602" s="1"/>
      <c r="H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</row>
    <row r="2603" spans="1:19" x14ac:dyDescent="0.2">
      <c r="A2603" s="1"/>
      <c r="C2603" s="1"/>
      <c r="G2603" s="1"/>
      <c r="H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</row>
    <row r="2604" spans="1:19" x14ac:dyDescent="0.2">
      <c r="A2604" s="1"/>
      <c r="C2604" s="1"/>
      <c r="G2604" s="1"/>
      <c r="H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</row>
    <row r="2605" spans="1:19" x14ac:dyDescent="0.2">
      <c r="A2605" s="1"/>
      <c r="C2605" s="1"/>
      <c r="G2605" s="1"/>
      <c r="H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</row>
    <row r="2606" spans="1:19" x14ac:dyDescent="0.2">
      <c r="A2606" s="1"/>
      <c r="C2606" s="1"/>
      <c r="G2606" s="1"/>
      <c r="H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</row>
    <row r="2607" spans="1:19" x14ac:dyDescent="0.2">
      <c r="A2607" s="1"/>
      <c r="C2607" s="1"/>
      <c r="G2607" s="1"/>
      <c r="H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</row>
    <row r="2608" spans="1:19" x14ac:dyDescent="0.2">
      <c r="A2608" s="1"/>
      <c r="C2608" s="1"/>
      <c r="G2608" s="1"/>
      <c r="H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</row>
    <row r="2609" spans="1:19" x14ac:dyDescent="0.2">
      <c r="A2609" s="1"/>
      <c r="C2609" s="1"/>
      <c r="G2609" s="1"/>
      <c r="H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</row>
    <row r="2610" spans="1:19" x14ac:dyDescent="0.2">
      <c r="A2610" s="1"/>
      <c r="C2610" s="1"/>
      <c r="G2610" s="1"/>
      <c r="H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</row>
    <row r="2611" spans="1:19" x14ac:dyDescent="0.2">
      <c r="A2611" s="1"/>
      <c r="C2611" s="1"/>
      <c r="G2611" s="1"/>
      <c r="H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</row>
    <row r="2612" spans="1:19" x14ac:dyDescent="0.2">
      <c r="A2612" s="1"/>
      <c r="C2612" s="1"/>
      <c r="G2612" s="1"/>
      <c r="H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</row>
    <row r="2613" spans="1:19" x14ac:dyDescent="0.2">
      <c r="A2613" s="1"/>
      <c r="C2613" s="1"/>
      <c r="G2613" s="1"/>
      <c r="H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</row>
    <row r="2614" spans="1:19" x14ac:dyDescent="0.2">
      <c r="A2614" s="1"/>
      <c r="C2614" s="1"/>
      <c r="G2614" s="1"/>
      <c r="H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</row>
    <row r="2615" spans="1:19" x14ac:dyDescent="0.2">
      <c r="A2615" s="1"/>
      <c r="C2615" s="1"/>
      <c r="G2615" s="1"/>
      <c r="H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</row>
    <row r="2616" spans="1:19" x14ac:dyDescent="0.2">
      <c r="A2616" s="1"/>
      <c r="C2616" s="1"/>
      <c r="G2616" s="1"/>
      <c r="H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</row>
    <row r="2617" spans="1:19" x14ac:dyDescent="0.2">
      <c r="A2617" s="1"/>
      <c r="C2617" s="1"/>
      <c r="G2617" s="1"/>
      <c r="H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</row>
    <row r="2618" spans="1:19" x14ac:dyDescent="0.2">
      <c r="A2618" s="1"/>
      <c r="C2618" s="1"/>
      <c r="G2618" s="1"/>
      <c r="H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</row>
    <row r="2619" spans="1:19" x14ac:dyDescent="0.2">
      <c r="A2619" s="1"/>
      <c r="C2619" s="1"/>
      <c r="G2619" s="1"/>
      <c r="H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</row>
    <row r="2620" spans="1:19" x14ac:dyDescent="0.2">
      <c r="A2620" s="1"/>
      <c r="C2620" s="1"/>
      <c r="G2620" s="1"/>
      <c r="H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</row>
    <row r="2621" spans="1:19" x14ac:dyDescent="0.2">
      <c r="A2621" s="1"/>
      <c r="C2621" s="1"/>
      <c r="G2621" s="1"/>
      <c r="H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</row>
    <row r="2622" spans="1:19" x14ac:dyDescent="0.2">
      <c r="A2622" s="1"/>
      <c r="C2622" s="1"/>
      <c r="G2622" s="1"/>
      <c r="H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</row>
    <row r="2623" spans="1:19" x14ac:dyDescent="0.2">
      <c r="A2623" s="1"/>
      <c r="C2623" s="1"/>
      <c r="G2623" s="1"/>
      <c r="H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</row>
    <row r="2624" spans="1:19" x14ac:dyDescent="0.2">
      <c r="A2624" s="1"/>
      <c r="C2624" s="1"/>
      <c r="G2624" s="1"/>
      <c r="H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</row>
    <row r="2625" spans="1:19" x14ac:dyDescent="0.2">
      <c r="A2625" s="1"/>
      <c r="C2625" s="1"/>
      <c r="G2625" s="1"/>
      <c r="H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</row>
    <row r="2626" spans="1:19" x14ac:dyDescent="0.2">
      <c r="A2626" s="1"/>
      <c r="C2626" s="1"/>
      <c r="G2626" s="1"/>
      <c r="H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</row>
    <row r="2627" spans="1:19" x14ac:dyDescent="0.2">
      <c r="A2627" s="1"/>
      <c r="C2627" s="1"/>
      <c r="G2627" s="1"/>
      <c r="H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</row>
    <row r="2628" spans="1:19" x14ac:dyDescent="0.2">
      <c r="A2628" s="1"/>
      <c r="C2628" s="1"/>
      <c r="G2628" s="1"/>
      <c r="H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</row>
    <row r="2629" spans="1:19" x14ac:dyDescent="0.2">
      <c r="A2629" s="1"/>
      <c r="C2629" s="1"/>
      <c r="G2629" s="1"/>
      <c r="H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</row>
    <row r="2630" spans="1:19" x14ac:dyDescent="0.2">
      <c r="A2630" s="1"/>
      <c r="C2630" s="1"/>
      <c r="G2630" s="1"/>
      <c r="H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</row>
    <row r="2631" spans="1:19" x14ac:dyDescent="0.2">
      <c r="A2631" s="1"/>
      <c r="C2631" s="1"/>
      <c r="G2631" s="1"/>
      <c r="H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</row>
    <row r="2632" spans="1:19" x14ac:dyDescent="0.2">
      <c r="A2632" s="1"/>
      <c r="C2632" s="1"/>
      <c r="G2632" s="1"/>
      <c r="H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</row>
    <row r="2633" spans="1:19" x14ac:dyDescent="0.2">
      <c r="A2633" s="1"/>
      <c r="C2633" s="1"/>
      <c r="G2633" s="1"/>
      <c r="H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</row>
    <row r="2634" spans="1:19" x14ac:dyDescent="0.2">
      <c r="A2634" s="1"/>
      <c r="C2634" s="1"/>
      <c r="G2634" s="1"/>
      <c r="H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</row>
    <row r="2635" spans="1:19" x14ac:dyDescent="0.2">
      <c r="A2635" s="1"/>
      <c r="C2635" s="1"/>
      <c r="G2635" s="1"/>
      <c r="H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</row>
    <row r="2636" spans="1:19" x14ac:dyDescent="0.2">
      <c r="A2636" s="1"/>
      <c r="C2636" s="1"/>
      <c r="G2636" s="1"/>
      <c r="H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</row>
    <row r="2637" spans="1:19" x14ac:dyDescent="0.2">
      <c r="A2637" s="1"/>
      <c r="C2637" s="1"/>
      <c r="G2637" s="1"/>
      <c r="H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</row>
    <row r="2638" spans="1:19" x14ac:dyDescent="0.2">
      <c r="A2638" s="1"/>
      <c r="C2638" s="1"/>
      <c r="G2638" s="1"/>
      <c r="H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</row>
    <row r="2639" spans="1:19" x14ac:dyDescent="0.2">
      <c r="A2639" s="1"/>
      <c r="C2639" s="1"/>
      <c r="G2639" s="1"/>
      <c r="H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</row>
    <row r="2640" spans="1:19" x14ac:dyDescent="0.2">
      <c r="A2640" s="1"/>
      <c r="C2640" s="1"/>
      <c r="G2640" s="1"/>
      <c r="H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</row>
    <row r="2641" spans="1:19" x14ac:dyDescent="0.2">
      <c r="A2641" s="1"/>
      <c r="C2641" s="1"/>
      <c r="G2641" s="1"/>
      <c r="H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</row>
    <row r="2642" spans="1:19" x14ac:dyDescent="0.2">
      <c r="A2642" s="1"/>
      <c r="C2642" s="1"/>
      <c r="G2642" s="1"/>
      <c r="H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</row>
    <row r="2643" spans="1:19" x14ac:dyDescent="0.2">
      <c r="A2643" s="1"/>
      <c r="C2643" s="1"/>
      <c r="G2643" s="1"/>
      <c r="H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</row>
    <row r="2644" spans="1:19" x14ac:dyDescent="0.2">
      <c r="A2644" s="1"/>
      <c r="C2644" s="1"/>
      <c r="G2644" s="1"/>
      <c r="H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</row>
    <row r="2645" spans="1:19" x14ac:dyDescent="0.2">
      <c r="A2645" s="1"/>
      <c r="C2645" s="1"/>
      <c r="G2645" s="1"/>
      <c r="H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</row>
    <row r="2646" spans="1:19" x14ac:dyDescent="0.2">
      <c r="A2646" s="1"/>
      <c r="C2646" s="1"/>
      <c r="G2646" s="1"/>
      <c r="H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</row>
    <row r="2647" spans="1:19" x14ac:dyDescent="0.2">
      <c r="A2647" s="1"/>
      <c r="C2647" s="1"/>
      <c r="G2647" s="1"/>
      <c r="H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</row>
    <row r="2648" spans="1:19" x14ac:dyDescent="0.2">
      <c r="A2648" s="1"/>
      <c r="C2648" s="1"/>
      <c r="G2648" s="1"/>
      <c r="H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</row>
    <row r="2649" spans="1:19" x14ac:dyDescent="0.2">
      <c r="A2649" s="1"/>
      <c r="C2649" s="1"/>
      <c r="G2649" s="1"/>
      <c r="H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</row>
    <row r="2650" spans="1:19" x14ac:dyDescent="0.2">
      <c r="A2650" s="1"/>
      <c r="C2650" s="1"/>
      <c r="G2650" s="1"/>
      <c r="H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</row>
    <row r="2651" spans="1:19" x14ac:dyDescent="0.2">
      <c r="A2651" s="1"/>
      <c r="C2651" s="1"/>
      <c r="G2651" s="1"/>
      <c r="H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</row>
    <row r="2652" spans="1:19" x14ac:dyDescent="0.2">
      <c r="A2652" s="1"/>
      <c r="C2652" s="1"/>
      <c r="G2652" s="1"/>
      <c r="H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</row>
    <row r="2653" spans="1:19" x14ac:dyDescent="0.2">
      <c r="A2653" s="1"/>
      <c r="C2653" s="1"/>
      <c r="G2653" s="1"/>
      <c r="H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</row>
    <row r="2654" spans="1:19" x14ac:dyDescent="0.2">
      <c r="A2654" s="1"/>
      <c r="C2654" s="1"/>
      <c r="G2654" s="1"/>
      <c r="H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</row>
    <row r="2655" spans="1:19" x14ac:dyDescent="0.2">
      <c r="A2655" s="1"/>
      <c r="C2655" s="1"/>
      <c r="G2655" s="1"/>
      <c r="H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</row>
    <row r="2656" spans="1:19" x14ac:dyDescent="0.2">
      <c r="A2656" s="1"/>
      <c r="C2656" s="1"/>
      <c r="G2656" s="1"/>
      <c r="H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</row>
    <row r="2657" spans="1:19" x14ac:dyDescent="0.2">
      <c r="A2657" s="1"/>
      <c r="C2657" s="1"/>
      <c r="G2657" s="1"/>
      <c r="H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</row>
    <row r="2658" spans="1:19" x14ac:dyDescent="0.2">
      <c r="A2658" s="1"/>
      <c r="C2658" s="1"/>
      <c r="G2658" s="1"/>
      <c r="H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</row>
    <row r="2659" spans="1:19" x14ac:dyDescent="0.2">
      <c r="A2659" s="1"/>
      <c r="C2659" s="1"/>
      <c r="G2659" s="1"/>
      <c r="H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</row>
    <row r="2660" spans="1:19" x14ac:dyDescent="0.2">
      <c r="A2660" s="1"/>
      <c r="C2660" s="1"/>
      <c r="G2660" s="1"/>
      <c r="H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</row>
    <row r="2661" spans="1:19" x14ac:dyDescent="0.2">
      <c r="A2661" s="1"/>
      <c r="C2661" s="1"/>
      <c r="G2661" s="1"/>
      <c r="H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</row>
    <row r="2662" spans="1:19" x14ac:dyDescent="0.2">
      <c r="A2662" s="1"/>
      <c r="C2662" s="1"/>
      <c r="G2662" s="1"/>
      <c r="H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</row>
    <row r="2663" spans="1:19" x14ac:dyDescent="0.2">
      <c r="A2663" s="1"/>
      <c r="C2663" s="1"/>
      <c r="G2663" s="1"/>
      <c r="H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</row>
    <row r="2664" spans="1:19" x14ac:dyDescent="0.2">
      <c r="A2664" s="1"/>
      <c r="C2664" s="1"/>
      <c r="G2664" s="1"/>
      <c r="H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</row>
    <row r="2665" spans="1:19" x14ac:dyDescent="0.2">
      <c r="A2665" s="1"/>
      <c r="C2665" s="1"/>
      <c r="G2665" s="1"/>
      <c r="H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</row>
    <row r="2666" spans="1:19" x14ac:dyDescent="0.2">
      <c r="A2666" s="1"/>
      <c r="C2666" s="1"/>
      <c r="G2666" s="1"/>
      <c r="H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</row>
    <row r="2667" spans="1:19" x14ac:dyDescent="0.2">
      <c r="A2667" s="1"/>
      <c r="C2667" s="1"/>
      <c r="G2667" s="1"/>
      <c r="H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</row>
    <row r="2668" spans="1:19" x14ac:dyDescent="0.2">
      <c r="A2668" s="1"/>
      <c r="C2668" s="1"/>
      <c r="G2668" s="1"/>
      <c r="H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</row>
    <row r="2669" spans="1:19" x14ac:dyDescent="0.2">
      <c r="A2669" s="1"/>
      <c r="C2669" s="1"/>
      <c r="G2669" s="1"/>
      <c r="H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</row>
    <row r="2670" spans="1:19" x14ac:dyDescent="0.2">
      <c r="A2670" s="1"/>
      <c r="C2670" s="1"/>
      <c r="G2670" s="1"/>
      <c r="H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</row>
    <row r="2671" spans="1:19" x14ac:dyDescent="0.2">
      <c r="A2671" s="1"/>
      <c r="C2671" s="1"/>
      <c r="G2671" s="1"/>
      <c r="H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</row>
    <row r="2672" spans="1:19" x14ac:dyDescent="0.2">
      <c r="A2672" s="1"/>
      <c r="C2672" s="1"/>
      <c r="G2672" s="1"/>
      <c r="H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</row>
    <row r="2673" spans="1:19" x14ac:dyDescent="0.2">
      <c r="A2673" s="1"/>
      <c r="C2673" s="1"/>
      <c r="G2673" s="1"/>
      <c r="H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</row>
    <row r="2674" spans="1:19" x14ac:dyDescent="0.2">
      <c r="A2674" s="1"/>
      <c r="C2674" s="1"/>
      <c r="G2674" s="1"/>
      <c r="H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</row>
    <row r="2675" spans="1:19" x14ac:dyDescent="0.2">
      <c r="A2675" s="1"/>
      <c r="C2675" s="1"/>
      <c r="G2675" s="1"/>
      <c r="H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</row>
    <row r="2676" spans="1:19" x14ac:dyDescent="0.2">
      <c r="A2676" s="1"/>
      <c r="C2676" s="1"/>
      <c r="G2676" s="1"/>
      <c r="H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</row>
    <row r="2677" spans="1:19" x14ac:dyDescent="0.2">
      <c r="A2677" s="1"/>
      <c r="C2677" s="1"/>
      <c r="G2677" s="1"/>
      <c r="H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</row>
    <row r="2678" spans="1:19" x14ac:dyDescent="0.2">
      <c r="A2678" s="1"/>
      <c r="C2678" s="1"/>
      <c r="G2678" s="1"/>
      <c r="H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</row>
    <row r="2679" spans="1:19" x14ac:dyDescent="0.2">
      <c r="A2679" s="1"/>
      <c r="C2679" s="1"/>
      <c r="G2679" s="1"/>
      <c r="H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</row>
    <row r="2680" spans="1:19" x14ac:dyDescent="0.2">
      <c r="A2680" s="1"/>
      <c r="C2680" s="1"/>
      <c r="G2680" s="1"/>
      <c r="H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</row>
    <row r="2681" spans="1:19" x14ac:dyDescent="0.2">
      <c r="A2681" s="1"/>
      <c r="C2681" s="1"/>
      <c r="G2681" s="1"/>
      <c r="H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</row>
    <row r="2682" spans="1:19" x14ac:dyDescent="0.2">
      <c r="A2682" s="1"/>
      <c r="C2682" s="1"/>
      <c r="G2682" s="1"/>
      <c r="H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</row>
    <row r="2683" spans="1:19" x14ac:dyDescent="0.2">
      <c r="A2683" s="1"/>
      <c r="C2683" s="1"/>
      <c r="G2683" s="1"/>
      <c r="H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</row>
    <row r="2684" spans="1:19" x14ac:dyDescent="0.2">
      <c r="A2684" s="1"/>
      <c r="C2684" s="1"/>
      <c r="G2684" s="1"/>
      <c r="H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</row>
    <row r="2685" spans="1:19" x14ac:dyDescent="0.2">
      <c r="A2685" s="1"/>
      <c r="C2685" s="1"/>
      <c r="G2685" s="1"/>
      <c r="H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</row>
    <row r="2686" spans="1:19" x14ac:dyDescent="0.2">
      <c r="A2686" s="1"/>
      <c r="C2686" s="1"/>
      <c r="G2686" s="1"/>
      <c r="H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</row>
    <row r="2687" spans="1:19" x14ac:dyDescent="0.2">
      <c r="A2687" s="1"/>
      <c r="C2687" s="1"/>
      <c r="G2687" s="1"/>
      <c r="H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</row>
    <row r="2688" spans="1:19" x14ac:dyDescent="0.2">
      <c r="A2688" s="1"/>
      <c r="C2688" s="1"/>
      <c r="G2688" s="1"/>
      <c r="H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</row>
    <row r="2689" spans="1:19" x14ac:dyDescent="0.2">
      <c r="A2689" s="1"/>
      <c r="C2689" s="1"/>
      <c r="G2689" s="1"/>
      <c r="H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</row>
    <row r="2690" spans="1:19" x14ac:dyDescent="0.2">
      <c r="A2690" s="1"/>
      <c r="C2690" s="1"/>
      <c r="G2690" s="1"/>
      <c r="H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</row>
    <row r="2691" spans="1:19" x14ac:dyDescent="0.2">
      <c r="A2691" s="1"/>
      <c r="C2691" s="1"/>
      <c r="G2691" s="1"/>
      <c r="H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</row>
    <row r="2692" spans="1:19" x14ac:dyDescent="0.2">
      <c r="A2692" s="1"/>
      <c r="C2692" s="1"/>
      <c r="G2692" s="1"/>
      <c r="H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</row>
    <row r="2693" spans="1:19" x14ac:dyDescent="0.2">
      <c r="A2693" s="1"/>
      <c r="C2693" s="1"/>
      <c r="G2693" s="1"/>
      <c r="H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</row>
    <row r="2694" spans="1:19" x14ac:dyDescent="0.2">
      <c r="A2694" s="1"/>
      <c r="C2694" s="1"/>
      <c r="G2694" s="1"/>
      <c r="H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</row>
    <row r="2695" spans="1:19" x14ac:dyDescent="0.2">
      <c r="A2695" s="1"/>
      <c r="C2695" s="1"/>
      <c r="G2695" s="1"/>
      <c r="H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</row>
    <row r="2696" spans="1:19" x14ac:dyDescent="0.2">
      <c r="A2696" s="1"/>
      <c r="C2696" s="1"/>
      <c r="G2696" s="1"/>
      <c r="H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</row>
    <row r="2697" spans="1:19" x14ac:dyDescent="0.2">
      <c r="A2697" s="1"/>
      <c r="C2697" s="1"/>
      <c r="G2697" s="1"/>
      <c r="H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</row>
    <row r="2698" spans="1:19" x14ac:dyDescent="0.2">
      <c r="A2698" s="1"/>
      <c r="C2698" s="1"/>
      <c r="G2698" s="1"/>
      <c r="H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</row>
    <row r="2699" spans="1:19" x14ac:dyDescent="0.2">
      <c r="A2699" s="1"/>
      <c r="C2699" s="1"/>
      <c r="G2699" s="1"/>
      <c r="H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</row>
    <row r="2700" spans="1:19" x14ac:dyDescent="0.2">
      <c r="A2700" s="1"/>
      <c r="C2700" s="1"/>
      <c r="G2700" s="1"/>
      <c r="H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</row>
    <row r="2701" spans="1:19" x14ac:dyDescent="0.2">
      <c r="A2701" s="1"/>
      <c r="C2701" s="1"/>
      <c r="G2701" s="1"/>
      <c r="H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</row>
    <row r="2702" spans="1:19" x14ac:dyDescent="0.2">
      <c r="A2702" s="1"/>
      <c r="C2702" s="1"/>
      <c r="G2702" s="1"/>
      <c r="H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</row>
    <row r="2703" spans="1:19" x14ac:dyDescent="0.2">
      <c r="A2703" s="1"/>
      <c r="C2703" s="1"/>
      <c r="G2703" s="1"/>
      <c r="H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</row>
    <row r="2704" spans="1:19" x14ac:dyDescent="0.2">
      <c r="A2704" s="1"/>
      <c r="C2704" s="1"/>
      <c r="G2704" s="1"/>
      <c r="H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</row>
    <row r="2705" spans="1:19" x14ac:dyDescent="0.2">
      <c r="A2705" s="1"/>
      <c r="C2705" s="1"/>
      <c r="G2705" s="1"/>
      <c r="H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</row>
    <row r="2706" spans="1:19" x14ac:dyDescent="0.2">
      <c r="A2706" s="1"/>
      <c r="C2706" s="1"/>
      <c r="G2706" s="1"/>
      <c r="H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</row>
    <row r="2707" spans="1:19" x14ac:dyDescent="0.2">
      <c r="A2707" s="1"/>
      <c r="C2707" s="1"/>
      <c r="G2707" s="1"/>
      <c r="H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</row>
    <row r="2708" spans="1:19" x14ac:dyDescent="0.2">
      <c r="A2708" s="1"/>
      <c r="C2708" s="1"/>
      <c r="G2708" s="1"/>
      <c r="H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</row>
    <row r="2709" spans="1:19" x14ac:dyDescent="0.2">
      <c r="A2709" s="1"/>
      <c r="C2709" s="1"/>
      <c r="G2709" s="1"/>
      <c r="H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</row>
    <row r="2710" spans="1:19" x14ac:dyDescent="0.2">
      <c r="A2710" s="1"/>
      <c r="C2710" s="1"/>
      <c r="G2710" s="1"/>
      <c r="H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</row>
    <row r="2711" spans="1:19" x14ac:dyDescent="0.2">
      <c r="A2711" s="1"/>
      <c r="C2711" s="1"/>
      <c r="G2711" s="1"/>
      <c r="H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</row>
    <row r="2712" spans="1:19" x14ac:dyDescent="0.2">
      <c r="A2712" s="1"/>
      <c r="C2712" s="1"/>
      <c r="G2712" s="1"/>
      <c r="H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</row>
    <row r="2713" spans="1:19" x14ac:dyDescent="0.2">
      <c r="A2713" s="1"/>
      <c r="C2713" s="1"/>
      <c r="G2713" s="1"/>
      <c r="H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</row>
    <row r="2714" spans="1:19" x14ac:dyDescent="0.2">
      <c r="A2714" s="1"/>
      <c r="C2714" s="1"/>
      <c r="G2714" s="1"/>
      <c r="H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</row>
    <row r="2715" spans="1:19" x14ac:dyDescent="0.2">
      <c r="A2715" s="1"/>
      <c r="C2715" s="1"/>
      <c r="G2715" s="1"/>
      <c r="H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</row>
    <row r="2716" spans="1:19" x14ac:dyDescent="0.2">
      <c r="A2716" s="1"/>
      <c r="C2716" s="1"/>
      <c r="G2716" s="1"/>
      <c r="H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</row>
    <row r="2717" spans="1:19" x14ac:dyDescent="0.2">
      <c r="A2717" s="1"/>
      <c r="C2717" s="1"/>
      <c r="G2717" s="1"/>
      <c r="H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</row>
    <row r="2718" spans="1:19" x14ac:dyDescent="0.2">
      <c r="A2718" s="1"/>
      <c r="C2718" s="1"/>
      <c r="G2718" s="1"/>
      <c r="H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</row>
    <row r="2719" spans="1:19" x14ac:dyDescent="0.2">
      <c r="A2719" s="1"/>
      <c r="C2719" s="1"/>
      <c r="G2719" s="1"/>
      <c r="H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</row>
    <row r="2720" spans="1:19" x14ac:dyDescent="0.2">
      <c r="A2720" s="1"/>
      <c r="C2720" s="1"/>
      <c r="G2720" s="1"/>
      <c r="H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</row>
    <row r="2721" spans="1:19" x14ac:dyDescent="0.2">
      <c r="A2721" s="1"/>
      <c r="C2721" s="1"/>
      <c r="G2721" s="1"/>
      <c r="H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</row>
    <row r="2722" spans="1:19" x14ac:dyDescent="0.2">
      <c r="A2722" s="1"/>
      <c r="C2722" s="1"/>
      <c r="G2722" s="1"/>
      <c r="H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</row>
    <row r="2723" spans="1:19" x14ac:dyDescent="0.2">
      <c r="A2723" s="1"/>
      <c r="C2723" s="1"/>
      <c r="G2723" s="1"/>
      <c r="H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</row>
    <row r="2724" spans="1:19" x14ac:dyDescent="0.2">
      <c r="A2724" s="1"/>
      <c r="C2724" s="1"/>
      <c r="G2724" s="1"/>
      <c r="H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</row>
    <row r="2725" spans="1:19" x14ac:dyDescent="0.2">
      <c r="A2725" s="1"/>
      <c r="C2725" s="1"/>
      <c r="G2725" s="1"/>
      <c r="H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</row>
    <row r="2726" spans="1:19" x14ac:dyDescent="0.2">
      <c r="A2726" s="1"/>
      <c r="C2726" s="1"/>
      <c r="G2726" s="1"/>
      <c r="H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</row>
    <row r="2727" spans="1:19" x14ac:dyDescent="0.2">
      <c r="A2727" s="1"/>
      <c r="C2727" s="1"/>
      <c r="G2727" s="1"/>
      <c r="H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</row>
    <row r="2728" spans="1:19" x14ac:dyDescent="0.2">
      <c r="A2728" s="1"/>
      <c r="C2728" s="1"/>
      <c r="G2728" s="1"/>
      <c r="H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</row>
    <row r="2729" spans="1:19" x14ac:dyDescent="0.2">
      <c r="A2729" s="1"/>
      <c r="C2729" s="1"/>
      <c r="G2729" s="1"/>
      <c r="H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</row>
    <row r="2730" spans="1:19" x14ac:dyDescent="0.2">
      <c r="A2730" s="1"/>
      <c r="C2730" s="1"/>
      <c r="G2730" s="1"/>
      <c r="H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</row>
    <row r="2731" spans="1:19" x14ac:dyDescent="0.2">
      <c r="A2731" s="1"/>
      <c r="C2731" s="1"/>
      <c r="G2731" s="1"/>
      <c r="H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</row>
    <row r="2732" spans="1:19" x14ac:dyDescent="0.2">
      <c r="A2732" s="1"/>
      <c r="C2732" s="1"/>
      <c r="G2732" s="1"/>
      <c r="H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</row>
    <row r="2733" spans="1:19" x14ac:dyDescent="0.2">
      <c r="A2733" s="1"/>
      <c r="C2733" s="1"/>
      <c r="G2733" s="1"/>
      <c r="H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</row>
    <row r="2734" spans="1:19" x14ac:dyDescent="0.2">
      <c r="A2734" s="1"/>
      <c r="C2734" s="1"/>
      <c r="G2734" s="1"/>
      <c r="H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</row>
    <row r="2735" spans="1:19" x14ac:dyDescent="0.2">
      <c r="A2735" s="1"/>
      <c r="C2735" s="1"/>
      <c r="G2735" s="1"/>
      <c r="H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</row>
    <row r="2736" spans="1:19" x14ac:dyDescent="0.2">
      <c r="A2736" s="1"/>
      <c r="C2736" s="1"/>
      <c r="G2736" s="1"/>
      <c r="H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</row>
    <row r="2737" spans="1:19" x14ac:dyDescent="0.2">
      <c r="A2737" s="1"/>
      <c r="C2737" s="1"/>
      <c r="G2737" s="1"/>
      <c r="H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</row>
    <row r="2738" spans="1:19" x14ac:dyDescent="0.2">
      <c r="A2738" s="1"/>
      <c r="C2738" s="1"/>
      <c r="G2738" s="1"/>
      <c r="H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</row>
    <row r="2739" spans="1:19" x14ac:dyDescent="0.2">
      <c r="A2739" s="1"/>
      <c r="C2739" s="1"/>
      <c r="G2739" s="1"/>
      <c r="H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</row>
    <row r="2740" spans="1:19" x14ac:dyDescent="0.2">
      <c r="A2740" s="1"/>
      <c r="C2740" s="1"/>
      <c r="G2740" s="1"/>
      <c r="H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</row>
    <row r="2741" spans="1:19" x14ac:dyDescent="0.2">
      <c r="A2741" s="1"/>
      <c r="C2741" s="1"/>
      <c r="G2741" s="1"/>
      <c r="H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</row>
    <row r="2742" spans="1:19" x14ac:dyDescent="0.2">
      <c r="A2742" s="1"/>
      <c r="C2742" s="1"/>
      <c r="G2742" s="1"/>
      <c r="H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</row>
    <row r="2743" spans="1:19" x14ac:dyDescent="0.2">
      <c r="A2743" s="1"/>
      <c r="C2743" s="1"/>
      <c r="G2743" s="1"/>
      <c r="H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</row>
    <row r="2744" spans="1:19" x14ac:dyDescent="0.2">
      <c r="A2744" s="1"/>
      <c r="C2744" s="1"/>
      <c r="G2744" s="1"/>
      <c r="H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</row>
    <row r="2745" spans="1:19" x14ac:dyDescent="0.2">
      <c r="A2745" s="1"/>
      <c r="C2745" s="1"/>
      <c r="G2745" s="1"/>
      <c r="H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</row>
    <row r="2746" spans="1:19" x14ac:dyDescent="0.2">
      <c r="A2746" s="1"/>
      <c r="C2746" s="1"/>
      <c r="G2746" s="1"/>
      <c r="H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</row>
    <row r="2747" spans="1:19" x14ac:dyDescent="0.2">
      <c r="A2747" s="1"/>
      <c r="C2747" s="1"/>
      <c r="G2747" s="1"/>
      <c r="H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</row>
    <row r="2748" spans="1:19" x14ac:dyDescent="0.2">
      <c r="A2748" s="1"/>
      <c r="C2748" s="1"/>
      <c r="G2748" s="1"/>
      <c r="H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</row>
    <row r="2749" spans="1:19" x14ac:dyDescent="0.2">
      <c r="A2749" s="1"/>
      <c r="C2749" s="1"/>
      <c r="G2749" s="1"/>
      <c r="H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</row>
    <row r="2750" spans="1:19" x14ac:dyDescent="0.2">
      <c r="A2750" s="1"/>
      <c r="C2750" s="1"/>
      <c r="G2750" s="1"/>
      <c r="H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</row>
    <row r="2751" spans="1:19" x14ac:dyDescent="0.2">
      <c r="A2751" s="1"/>
      <c r="C2751" s="1"/>
      <c r="G2751" s="1"/>
      <c r="H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</row>
    <row r="2752" spans="1:19" x14ac:dyDescent="0.2">
      <c r="A2752" s="1"/>
      <c r="C2752" s="1"/>
      <c r="G2752" s="1"/>
      <c r="H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</row>
    <row r="2753" spans="1:19" x14ac:dyDescent="0.2">
      <c r="A2753" s="1"/>
      <c r="C2753" s="1"/>
      <c r="G2753" s="1"/>
      <c r="H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</row>
    <row r="2754" spans="1:19" x14ac:dyDescent="0.2">
      <c r="A2754" s="1"/>
      <c r="C2754" s="1"/>
      <c r="G2754" s="1"/>
      <c r="H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</row>
    <row r="2755" spans="1:19" x14ac:dyDescent="0.2">
      <c r="A2755" s="1"/>
      <c r="C2755" s="1"/>
      <c r="G2755" s="1"/>
      <c r="H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</row>
    <row r="2756" spans="1:19" x14ac:dyDescent="0.2">
      <c r="A2756" s="1"/>
      <c r="C2756" s="1"/>
      <c r="G2756" s="1"/>
      <c r="H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</row>
    <row r="2757" spans="1:19" x14ac:dyDescent="0.2">
      <c r="A2757" s="1"/>
      <c r="C2757" s="1"/>
      <c r="G2757" s="1"/>
      <c r="H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</row>
    <row r="2758" spans="1:19" x14ac:dyDescent="0.2">
      <c r="A2758" s="1"/>
      <c r="C2758" s="1"/>
      <c r="G2758" s="1"/>
      <c r="H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</row>
    <row r="2759" spans="1:19" x14ac:dyDescent="0.2">
      <c r="A2759" s="1"/>
      <c r="C2759" s="1"/>
      <c r="G2759" s="1"/>
      <c r="H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</row>
    <row r="2760" spans="1:19" x14ac:dyDescent="0.2">
      <c r="A2760" s="1"/>
      <c r="C2760" s="1"/>
      <c r="G2760" s="1"/>
      <c r="H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</row>
    <row r="2761" spans="1:19" x14ac:dyDescent="0.2">
      <c r="A2761" s="1"/>
      <c r="C2761" s="1"/>
      <c r="G2761" s="1"/>
      <c r="H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</row>
    <row r="2762" spans="1:19" x14ac:dyDescent="0.2">
      <c r="A2762" s="1"/>
      <c r="C2762" s="1"/>
      <c r="G2762" s="1"/>
      <c r="H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</row>
    <row r="2763" spans="1:19" x14ac:dyDescent="0.2">
      <c r="A2763" s="1"/>
      <c r="C2763" s="1"/>
      <c r="G2763" s="1"/>
      <c r="H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</row>
    <row r="2764" spans="1:19" x14ac:dyDescent="0.2">
      <c r="A2764" s="1"/>
      <c r="C2764" s="1"/>
      <c r="G2764" s="1"/>
      <c r="H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</row>
    <row r="2765" spans="1:19" x14ac:dyDescent="0.2">
      <c r="A2765" s="1"/>
      <c r="C2765" s="1"/>
      <c r="G2765" s="1"/>
      <c r="H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</row>
    <row r="2766" spans="1:19" x14ac:dyDescent="0.2">
      <c r="A2766" s="1"/>
      <c r="C2766" s="1"/>
      <c r="G2766" s="1"/>
      <c r="H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</row>
    <row r="2767" spans="1:19" x14ac:dyDescent="0.2">
      <c r="A2767" s="1"/>
      <c r="C2767" s="1"/>
      <c r="G2767" s="1"/>
      <c r="H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</row>
    <row r="2768" spans="1:19" x14ac:dyDescent="0.2">
      <c r="A2768" s="1"/>
      <c r="C2768" s="1"/>
      <c r="G2768" s="1"/>
      <c r="H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</row>
    <row r="2769" spans="1:19" x14ac:dyDescent="0.2">
      <c r="A2769" s="1"/>
      <c r="C2769" s="1"/>
      <c r="G2769" s="1"/>
      <c r="H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</row>
    <row r="2770" spans="1:19" x14ac:dyDescent="0.2">
      <c r="A2770" s="1"/>
      <c r="C2770" s="1"/>
      <c r="G2770" s="1"/>
      <c r="H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</row>
    <row r="2771" spans="1:19" x14ac:dyDescent="0.2">
      <c r="A2771" s="1"/>
      <c r="C2771" s="1"/>
      <c r="G2771" s="1"/>
      <c r="H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</row>
    <row r="2772" spans="1:19" x14ac:dyDescent="0.2">
      <c r="A2772" s="1"/>
      <c r="C2772" s="1"/>
      <c r="G2772" s="1"/>
      <c r="H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</row>
    <row r="2773" spans="1:19" x14ac:dyDescent="0.2">
      <c r="A2773" s="1"/>
      <c r="C2773" s="1"/>
      <c r="G2773" s="1"/>
      <c r="H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</row>
    <row r="2774" spans="1:19" x14ac:dyDescent="0.2">
      <c r="A2774" s="1"/>
      <c r="C2774" s="1"/>
      <c r="G2774" s="1"/>
      <c r="H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</row>
    <row r="2775" spans="1:19" x14ac:dyDescent="0.2">
      <c r="A2775" s="1"/>
      <c r="C2775" s="1"/>
      <c r="G2775" s="1"/>
      <c r="H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</row>
    <row r="2776" spans="1:19" x14ac:dyDescent="0.2">
      <c r="A2776" s="1"/>
      <c r="C2776" s="1"/>
      <c r="G2776" s="1"/>
      <c r="H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</row>
    <row r="2777" spans="1:19" x14ac:dyDescent="0.2">
      <c r="A2777" s="1"/>
      <c r="C2777" s="1"/>
      <c r="G2777" s="1"/>
      <c r="H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</row>
    <row r="2778" spans="1:19" x14ac:dyDescent="0.2">
      <c r="A2778" s="1"/>
      <c r="C2778" s="1"/>
      <c r="G2778" s="1"/>
      <c r="H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</row>
    <row r="2779" spans="1:19" x14ac:dyDescent="0.2">
      <c r="A2779" s="1"/>
      <c r="C2779" s="1"/>
      <c r="G2779" s="1"/>
      <c r="H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</row>
    <row r="2780" spans="1:19" x14ac:dyDescent="0.2">
      <c r="A2780" s="1"/>
      <c r="C2780" s="1"/>
      <c r="G2780" s="1"/>
      <c r="H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</row>
    <row r="2781" spans="1:19" x14ac:dyDescent="0.2">
      <c r="A2781" s="1"/>
      <c r="C2781" s="1"/>
      <c r="G2781" s="1"/>
      <c r="H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</row>
    <row r="2782" spans="1:19" x14ac:dyDescent="0.2">
      <c r="A2782" s="1"/>
      <c r="C2782" s="1"/>
      <c r="G2782" s="1"/>
      <c r="H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</row>
    <row r="2783" spans="1:19" x14ac:dyDescent="0.2">
      <c r="A2783" s="1"/>
      <c r="C2783" s="1"/>
      <c r="G2783" s="1"/>
      <c r="H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</row>
    <row r="2784" spans="1:19" x14ac:dyDescent="0.2">
      <c r="A2784" s="1"/>
      <c r="C2784" s="1"/>
      <c r="G2784" s="1"/>
      <c r="H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</row>
    <row r="2785" spans="1:19" x14ac:dyDescent="0.2">
      <c r="A2785" s="1"/>
      <c r="C2785" s="1"/>
      <c r="G2785" s="1"/>
      <c r="H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</row>
    <row r="2786" spans="1:19" x14ac:dyDescent="0.2">
      <c r="A2786" s="1"/>
      <c r="C2786" s="1"/>
      <c r="G2786" s="1"/>
      <c r="H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</row>
    <row r="2787" spans="1:19" x14ac:dyDescent="0.2">
      <c r="A2787" s="1"/>
      <c r="C2787" s="1"/>
      <c r="G2787" s="1"/>
      <c r="H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</row>
    <row r="2788" spans="1:19" x14ac:dyDescent="0.2">
      <c r="A2788" s="1"/>
      <c r="C2788" s="1"/>
      <c r="G2788" s="1"/>
      <c r="H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</row>
    <row r="2789" spans="1:19" x14ac:dyDescent="0.2">
      <c r="A2789" s="1"/>
      <c r="C2789" s="1"/>
      <c r="G2789" s="1"/>
      <c r="H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</row>
    <row r="2790" spans="1:19" x14ac:dyDescent="0.2">
      <c r="A2790" s="1"/>
      <c r="C2790" s="1"/>
      <c r="G2790" s="1"/>
      <c r="H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</row>
    <row r="2791" spans="1:19" x14ac:dyDescent="0.2">
      <c r="A2791" s="1"/>
      <c r="C2791" s="1"/>
      <c r="G2791" s="1"/>
      <c r="H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</row>
    <row r="2792" spans="1:19" x14ac:dyDescent="0.2">
      <c r="A2792" s="1"/>
      <c r="C2792" s="1"/>
      <c r="G2792" s="1"/>
      <c r="H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</row>
    <row r="2793" spans="1:19" x14ac:dyDescent="0.2">
      <c r="A2793" s="1"/>
      <c r="C2793" s="1"/>
      <c r="G2793" s="1"/>
      <c r="H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</row>
    <row r="2794" spans="1:19" x14ac:dyDescent="0.2">
      <c r="A2794" s="1"/>
      <c r="C2794" s="1"/>
      <c r="G2794" s="1"/>
      <c r="H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</row>
    <row r="2795" spans="1:19" x14ac:dyDescent="0.2">
      <c r="A2795" s="1"/>
      <c r="C2795" s="1"/>
      <c r="G2795" s="1"/>
      <c r="H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</row>
    <row r="2796" spans="1:19" x14ac:dyDescent="0.2">
      <c r="A2796" s="1"/>
      <c r="C2796" s="1"/>
      <c r="G2796" s="1"/>
      <c r="H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</row>
    <row r="2797" spans="1:19" x14ac:dyDescent="0.2">
      <c r="A2797" s="1"/>
      <c r="C2797" s="1"/>
      <c r="G2797" s="1"/>
      <c r="H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</row>
    <row r="2798" spans="1:19" x14ac:dyDescent="0.2">
      <c r="A2798" s="1"/>
      <c r="C2798" s="1"/>
      <c r="G2798" s="1"/>
      <c r="H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</row>
    <row r="2799" spans="1:19" x14ac:dyDescent="0.2">
      <c r="A2799" s="1"/>
      <c r="C2799" s="1"/>
      <c r="G2799" s="1"/>
      <c r="H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</row>
    <row r="2800" spans="1:19" x14ac:dyDescent="0.2">
      <c r="A2800" s="1"/>
      <c r="C2800" s="1"/>
      <c r="G2800" s="1"/>
      <c r="H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</row>
    <row r="2801" spans="1:19" x14ac:dyDescent="0.2">
      <c r="A2801" s="1"/>
      <c r="C2801" s="1"/>
      <c r="G2801" s="1"/>
      <c r="H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</row>
    <row r="2802" spans="1:19" x14ac:dyDescent="0.2">
      <c r="A2802" s="1"/>
      <c r="C2802" s="1"/>
      <c r="G2802" s="1"/>
      <c r="H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</row>
    <row r="2803" spans="1:19" x14ac:dyDescent="0.2">
      <c r="A2803" s="1"/>
      <c r="C2803" s="1"/>
      <c r="G2803" s="1"/>
      <c r="H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</row>
    <row r="2804" spans="1:19" x14ac:dyDescent="0.2">
      <c r="A2804" s="1"/>
      <c r="C2804" s="1"/>
      <c r="G2804" s="1"/>
      <c r="H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</row>
    <row r="2805" spans="1:19" x14ac:dyDescent="0.2">
      <c r="A2805" s="1"/>
      <c r="C2805" s="1"/>
      <c r="G2805" s="1"/>
      <c r="H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</row>
    <row r="2806" spans="1:19" x14ac:dyDescent="0.2">
      <c r="A2806" s="1"/>
      <c r="C2806" s="1"/>
      <c r="G2806" s="1"/>
      <c r="H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</row>
    <row r="2807" spans="1:19" x14ac:dyDescent="0.2">
      <c r="A2807" s="1"/>
      <c r="C2807" s="1"/>
      <c r="G2807" s="1"/>
      <c r="H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</row>
    <row r="2808" spans="1:19" x14ac:dyDescent="0.2">
      <c r="A2808" s="1"/>
      <c r="C2808" s="1"/>
      <c r="G2808" s="1"/>
      <c r="H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</row>
    <row r="2809" spans="1:19" x14ac:dyDescent="0.2">
      <c r="A2809" s="1"/>
      <c r="C2809" s="1"/>
      <c r="G2809" s="1"/>
      <c r="H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</row>
    <row r="2810" spans="1:19" x14ac:dyDescent="0.2">
      <c r="A2810" s="1"/>
      <c r="C2810" s="1"/>
      <c r="G2810" s="1"/>
      <c r="H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</row>
    <row r="2811" spans="1:19" x14ac:dyDescent="0.2">
      <c r="A2811" s="1"/>
      <c r="C2811" s="1"/>
      <c r="G2811" s="1"/>
      <c r="H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</row>
    <row r="2812" spans="1:19" x14ac:dyDescent="0.2">
      <c r="A2812" s="1"/>
      <c r="C2812" s="1"/>
      <c r="G2812" s="1"/>
      <c r="H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</row>
    <row r="2813" spans="1:19" x14ac:dyDescent="0.2">
      <c r="A2813" s="1"/>
      <c r="C2813" s="1"/>
      <c r="G2813" s="1"/>
      <c r="H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</row>
    <row r="2814" spans="1:19" x14ac:dyDescent="0.2">
      <c r="A2814" s="1"/>
      <c r="C2814" s="1"/>
      <c r="G2814" s="1"/>
      <c r="H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</row>
    <row r="2815" spans="1:19" x14ac:dyDescent="0.2">
      <c r="A2815" s="1"/>
      <c r="C2815" s="1"/>
      <c r="G2815" s="1"/>
      <c r="H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</row>
    <row r="2816" spans="1:19" x14ac:dyDescent="0.2">
      <c r="A2816" s="1"/>
      <c r="C2816" s="1"/>
      <c r="G2816" s="1"/>
      <c r="H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</row>
    <row r="2817" spans="1:19" x14ac:dyDescent="0.2">
      <c r="A2817" s="1"/>
      <c r="C2817" s="1"/>
      <c r="G2817" s="1"/>
      <c r="H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</row>
    <row r="2818" spans="1:19" x14ac:dyDescent="0.2">
      <c r="A2818" s="1"/>
      <c r="C2818" s="1"/>
      <c r="G2818" s="1"/>
      <c r="H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</row>
    <row r="2819" spans="1:19" x14ac:dyDescent="0.2">
      <c r="A2819" s="1"/>
      <c r="C2819" s="1"/>
      <c r="G2819" s="1"/>
      <c r="H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</row>
    <row r="2820" spans="1:19" x14ac:dyDescent="0.2">
      <c r="A2820" s="1"/>
      <c r="C2820" s="1"/>
      <c r="G2820" s="1"/>
      <c r="H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</row>
    <row r="2821" spans="1:19" x14ac:dyDescent="0.2">
      <c r="A2821" s="1"/>
      <c r="C2821" s="1"/>
      <c r="G2821" s="1"/>
      <c r="H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</row>
    <row r="2822" spans="1:19" x14ac:dyDescent="0.2">
      <c r="A2822" s="1"/>
      <c r="C2822" s="1"/>
      <c r="G2822" s="1"/>
      <c r="H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</row>
    <row r="2823" spans="1:19" x14ac:dyDescent="0.2">
      <c r="A2823" s="1"/>
      <c r="C2823" s="1"/>
      <c r="G2823" s="1"/>
      <c r="H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</row>
    <row r="2824" spans="1:19" x14ac:dyDescent="0.2">
      <c r="A2824" s="1"/>
      <c r="C2824" s="1"/>
      <c r="G2824" s="1"/>
      <c r="H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</row>
    <row r="2825" spans="1:19" x14ac:dyDescent="0.2">
      <c r="A2825" s="1"/>
      <c r="C2825" s="1"/>
      <c r="G2825" s="1"/>
      <c r="H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</row>
    <row r="2826" spans="1:19" x14ac:dyDescent="0.2">
      <c r="A2826" s="1"/>
      <c r="C2826" s="1"/>
      <c r="G2826" s="1"/>
      <c r="H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</row>
    <row r="2827" spans="1:19" x14ac:dyDescent="0.2">
      <c r="A2827" s="1"/>
      <c r="C2827" s="1"/>
      <c r="G2827" s="1"/>
      <c r="H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</row>
    <row r="2828" spans="1:19" x14ac:dyDescent="0.2">
      <c r="A2828" s="1"/>
      <c r="C2828" s="1"/>
      <c r="G2828" s="1"/>
      <c r="H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</row>
    <row r="2829" spans="1:19" x14ac:dyDescent="0.2">
      <c r="A2829" s="1"/>
      <c r="C2829" s="1"/>
      <c r="G2829" s="1"/>
      <c r="H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</row>
    <row r="2830" spans="1:19" x14ac:dyDescent="0.2">
      <c r="A2830" s="1"/>
      <c r="C2830" s="1"/>
      <c r="G2830" s="1"/>
      <c r="H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</row>
    <row r="2831" spans="1:19" x14ac:dyDescent="0.2">
      <c r="A2831" s="1"/>
      <c r="C2831" s="1"/>
      <c r="G2831" s="1"/>
      <c r="H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</row>
    <row r="2832" spans="1:19" x14ac:dyDescent="0.2">
      <c r="A2832" s="1"/>
      <c r="C2832" s="1"/>
      <c r="G2832" s="1"/>
      <c r="H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</row>
    <row r="2833" spans="1:19" x14ac:dyDescent="0.2">
      <c r="A2833" s="1"/>
      <c r="C2833" s="1"/>
      <c r="G2833" s="1"/>
      <c r="H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</row>
    <row r="2834" spans="1:19" x14ac:dyDescent="0.2">
      <c r="A2834" s="1"/>
      <c r="C2834" s="1"/>
      <c r="G2834" s="1"/>
      <c r="H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</row>
    <row r="2835" spans="1:19" x14ac:dyDescent="0.2">
      <c r="A2835" s="1"/>
      <c r="C2835" s="1"/>
      <c r="G2835" s="1"/>
      <c r="H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</row>
    <row r="2836" spans="1:19" x14ac:dyDescent="0.2">
      <c r="A2836" s="1"/>
      <c r="C2836" s="1"/>
      <c r="G2836" s="1"/>
      <c r="H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</row>
    <row r="2837" spans="1:19" x14ac:dyDescent="0.2">
      <c r="A2837" s="1"/>
      <c r="C2837" s="1"/>
      <c r="G2837" s="1"/>
      <c r="H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</row>
    <row r="2838" spans="1:19" x14ac:dyDescent="0.2">
      <c r="A2838" s="1"/>
      <c r="C2838" s="1"/>
      <c r="G2838" s="1"/>
      <c r="H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</row>
    <row r="2839" spans="1:19" x14ac:dyDescent="0.2">
      <c r="A2839" s="1"/>
      <c r="C2839" s="1"/>
      <c r="G2839" s="1"/>
      <c r="H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</row>
    <row r="2840" spans="1:19" x14ac:dyDescent="0.2">
      <c r="A2840" s="1"/>
      <c r="C2840" s="1"/>
      <c r="G2840" s="1"/>
      <c r="H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</row>
    <row r="2841" spans="1:19" x14ac:dyDescent="0.2">
      <c r="A2841" s="1"/>
      <c r="C2841" s="1"/>
      <c r="G2841" s="1"/>
      <c r="H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</row>
    <row r="2842" spans="1:19" x14ac:dyDescent="0.2">
      <c r="A2842" s="1"/>
      <c r="C2842" s="1"/>
      <c r="G2842" s="1"/>
      <c r="H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</row>
    <row r="2843" spans="1:19" x14ac:dyDescent="0.2">
      <c r="A2843" s="1"/>
      <c r="C2843" s="1"/>
      <c r="G2843" s="1"/>
      <c r="H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</row>
    <row r="2844" spans="1:19" x14ac:dyDescent="0.2">
      <c r="A2844" s="1"/>
      <c r="C2844" s="1"/>
      <c r="G2844" s="1"/>
      <c r="H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</row>
    <row r="2845" spans="1:19" x14ac:dyDescent="0.2">
      <c r="A2845" s="1"/>
      <c r="C2845" s="1"/>
      <c r="G2845" s="1"/>
      <c r="H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</row>
    <row r="2846" spans="1:19" x14ac:dyDescent="0.2">
      <c r="A2846" s="1"/>
      <c r="C2846" s="1"/>
      <c r="G2846" s="1"/>
      <c r="H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</row>
    <row r="2847" spans="1:19" x14ac:dyDescent="0.2">
      <c r="A2847" s="1"/>
      <c r="C2847" s="1"/>
      <c r="G2847" s="1"/>
      <c r="H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</row>
    <row r="2848" spans="1:19" x14ac:dyDescent="0.2">
      <c r="A2848" s="1"/>
      <c r="C2848" s="1"/>
      <c r="G2848" s="1"/>
      <c r="H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</row>
    <row r="2849" spans="1:19" x14ac:dyDescent="0.2">
      <c r="A2849" s="1"/>
      <c r="C2849" s="1"/>
      <c r="G2849" s="1"/>
      <c r="H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</row>
    <row r="2850" spans="1:19" x14ac:dyDescent="0.2">
      <c r="A2850" s="1"/>
      <c r="C2850" s="1"/>
      <c r="G2850" s="1"/>
      <c r="H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</row>
    <row r="2851" spans="1:19" x14ac:dyDescent="0.2">
      <c r="A2851" s="1"/>
      <c r="C2851" s="1"/>
      <c r="G2851" s="1"/>
      <c r="H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</row>
    <row r="2852" spans="1:19" x14ac:dyDescent="0.2">
      <c r="A2852" s="1"/>
      <c r="C2852" s="1"/>
      <c r="G2852" s="1"/>
      <c r="H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</row>
    <row r="2853" spans="1:19" x14ac:dyDescent="0.2">
      <c r="A2853" s="1"/>
      <c r="C2853" s="1"/>
      <c r="G2853" s="1"/>
      <c r="H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</row>
    <row r="2854" spans="1:19" x14ac:dyDescent="0.2">
      <c r="A2854" s="1"/>
      <c r="C2854" s="1"/>
      <c r="G2854" s="1"/>
      <c r="H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</row>
    <row r="2855" spans="1:19" x14ac:dyDescent="0.2">
      <c r="A2855" s="1"/>
      <c r="C2855" s="1"/>
      <c r="G2855" s="1"/>
      <c r="H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</row>
    <row r="2856" spans="1:19" x14ac:dyDescent="0.2">
      <c r="A2856" s="1"/>
      <c r="C2856" s="1"/>
      <c r="G2856" s="1"/>
      <c r="H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</row>
    <row r="2857" spans="1:19" x14ac:dyDescent="0.2">
      <c r="A2857" s="1"/>
      <c r="C2857" s="1"/>
      <c r="G2857" s="1"/>
      <c r="H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</row>
    <row r="2858" spans="1:19" x14ac:dyDescent="0.2">
      <c r="A2858" s="1"/>
      <c r="C2858" s="1"/>
      <c r="G2858" s="1"/>
      <c r="H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</row>
    <row r="2859" spans="1:19" x14ac:dyDescent="0.2">
      <c r="A2859" s="1"/>
      <c r="C2859" s="1"/>
      <c r="G2859" s="1"/>
      <c r="H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</row>
    <row r="2860" spans="1:19" x14ac:dyDescent="0.2">
      <c r="A2860" s="1"/>
      <c r="C2860" s="1"/>
      <c r="G2860" s="1"/>
      <c r="H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</row>
    <row r="2861" spans="1:19" x14ac:dyDescent="0.2">
      <c r="A2861" s="1"/>
      <c r="C2861" s="1"/>
      <c r="G2861" s="1"/>
      <c r="H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</row>
    <row r="2862" spans="1:19" x14ac:dyDescent="0.2">
      <c r="A2862" s="1"/>
      <c r="C2862" s="1"/>
      <c r="G2862" s="1"/>
      <c r="H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</row>
    <row r="2863" spans="1:19" x14ac:dyDescent="0.2">
      <c r="A2863" s="1"/>
      <c r="C2863" s="1"/>
      <c r="G2863" s="1"/>
      <c r="H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</row>
    <row r="2864" spans="1:19" x14ac:dyDescent="0.2">
      <c r="A2864" s="1"/>
      <c r="C2864" s="1"/>
      <c r="G2864" s="1"/>
      <c r="H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</row>
    <row r="2865" spans="1:19" x14ac:dyDescent="0.2">
      <c r="A2865" s="1"/>
      <c r="C2865" s="1"/>
      <c r="G2865" s="1"/>
      <c r="H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</row>
    <row r="2866" spans="1:19" x14ac:dyDescent="0.2">
      <c r="A2866" s="1"/>
      <c r="C2866" s="1"/>
      <c r="G2866" s="1"/>
      <c r="H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</row>
    <row r="2867" spans="1:19" x14ac:dyDescent="0.2">
      <c r="A2867" s="1"/>
      <c r="C2867" s="1"/>
      <c r="G2867" s="1"/>
      <c r="H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</row>
    <row r="2868" spans="1:19" x14ac:dyDescent="0.2">
      <c r="A2868" s="1"/>
      <c r="C2868" s="1"/>
      <c r="G2868" s="1"/>
      <c r="H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</row>
    <row r="2869" spans="1:19" x14ac:dyDescent="0.2">
      <c r="A2869" s="1"/>
      <c r="C2869" s="1"/>
      <c r="G2869" s="1"/>
      <c r="H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</row>
    <row r="2870" spans="1:19" x14ac:dyDescent="0.2">
      <c r="A2870" s="1"/>
      <c r="C2870" s="1"/>
      <c r="G2870" s="1"/>
      <c r="H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</row>
    <row r="2871" spans="1:19" x14ac:dyDescent="0.2">
      <c r="A2871" s="1"/>
      <c r="C2871" s="1"/>
      <c r="G2871" s="1"/>
      <c r="H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</row>
    <row r="2872" spans="1:19" x14ac:dyDescent="0.2">
      <c r="A2872" s="1"/>
      <c r="C2872" s="1"/>
      <c r="G2872" s="1"/>
      <c r="H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</row>
    <row r="2873" spans="1:19" x14ac:dyDescent="0.2">
      <c r="A2873" s="1"/>
      <c r="C2873" s="1"/>
      <c r="G2873" s="1"/>
      <c r="H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</row>
    <row r="2874" spans="1:19" x14ac:dyDescent="0.2">
      <c r="A2874" s="1"/>
      <c r="C2874" s="1"/>
      <c r="G2874" s="1"/>
      <c r="H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</row>
    <row r="2875" spans="1:19" x14ac:dyDescent="0.2">
      <c r="A2875" s="1"/>
      <c r="C2875" s="1"/>
      <c r="G2875" s="1"/>
      <c r="H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</row>
    <row r="2876" spans="1:19" x14ac:dyDescent="0.2">
      <c r="A2876" s="1"/>
      <c r="C2876" s="1"/>
      <c r="G2876" s="1"/>
      <c r="H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</row>
    <row r="2877" spans="1:19" x14ac:dyDescent="0.2">
      <c r="A2877" s="1"/>
      <c r="C2877" s="1"/>
      <c r="G2877" s="1"/>
      <c r="H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</row>
    <row r="2878" spans="1:19" x14ac:dyDescent="0.2">
      <c r="A2878" s="1"/>
      <c r="C2878" s="1"/>
      <c r="G2878" s="1"/>
      <c r="H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</row>
    <row r="2879" spans="1:19" x14ac:dyDescent="0.2">
      <c r="A2879" s="1"/>
      <c r="C2879" s="1"/>
      <c r="G2879" s="1"/>
      <c r="H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</row>
    <row r="2880" spans="1:19" x14ac:dyDescent="0.2">
      <c r="A2880" s="1"/>
      <c r="C2880" s="1"/>
      <c r="G2880" s="1"/>
      <c r="H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</row>
    <row r="2881" spans="1:19" x14ac:dyDescent="0.2">
      <c r="A2881" s="1"/>
      <c r="C2881" s="1"/>
      <c r="G2881" s="1"/>
      <c r="H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</row>
    <row r="2882" spans="1:19" x14ac:dyDescent="0.2">
      <c r="A2882" s="1"/>
      <c r="C2882" s="1"/>
      <c r="G2882" s="1"/>
      <c r="H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</row>
    <row r="2883" spans="1:19" x14ac:dyDescent="0.2">
      <c r="A2883" s="1"/>
      <c r="C2883" s="1"/>
      <c r="G2883" s="1"/>
      <c r="H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</row>
    <row r="2884" spans="1:19" x14ac:dyDescent="0.2">
      <c r="A2884" s="1"/>
      <c r="C2884" s="1"/>
      <c r="G2884" s="1"/>
      <c r="H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</row>
    <row r="2885" spans="1:19" x14ac:dyDescent="0.2">
      <c r="A2885" s="1"/>
      <c r="C2885" s="1"/>
      <c r="G2885" s="1"/>
      <c r="H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</row>
    <row r="2886" spans="1:19" x14ac:dyDescent="0.2">
      <c r="A2886" s="1"/>
      <c r="C2886" s="1"/>
      <c r="G2886" s="1"/>
      <c r="H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</row>
    <row r="2887" spans="1:19" x14ac:dyDescent="0.2">
      <c r="A2887" s="1"/>
      <c r="C2887" s="1"/>
      <c r="G2887" s="1"/>
      <c r="H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</row>
    <row r="2888" spans="1:19" x14ac:dyDescent="0.2">
      <c r="A2888" s="1"/>
      <c r="C2888" s="1"/>
      <c r="G2888" s="1"/>
      <c r="H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</row>
    <row r="2889" spans="1:19" x14ac:dyDescent="0.2">
      <c r="A2889" s="1"/>
      <c r="C2889" s="1"/>
      <c r="G2889" s="1"/>
      <c r="H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</row>
    <row r="2890" spans="1:19" x14ac:dyDescent="0.2">
      <c r="A2890" s="1"/>
      <c r="C2890" s="1"/>
      <c r="G2890" s="1"/>
      <c r="H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</row>
    <row r="2891" spans="1:19" x14ac:dyDescent="0.2">
      <c r="A2891" s="1"/>
      <c r="C2891" s="1"/>
      <c r="G2891" s="1"/>
      <c r="H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</row>
    <row r="2892" spans="1:19" x14ac:dyDescent="0.2">
      <c r="A2892" s="1"/>
      <c r="C2892" s="1"/>
      <c r="G2892" s="1"/>
      <c r="H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</row>
    <row r="2893" spans="1:19" x14ac:dyDescent="0.2">
      <c r="A2893" s="1"/>
      <c r="C2893" s="1"/>
      <c r="G2893" s="1"/>
      <c r="H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</row>
    <row r="2894" spans="1:19" x14ac:dyDescent="0.2">
      <c r="A2894" s="1"/>
      <c r="C2894" s="1"/>
      <c r="G2894" s="1"/>
      <c r="H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</row>
    <row r="2895" spans="1:19" x14ac:dyDescent="0.2">
      <c r="A2895" s="1"/>
      <c r="C2895" s="1"/>
      <c r="G2895" s="1"/>
      <c r="H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</row>
    <row r="2896" spans="1:19" x14ac:dyDescent="0.2">
      <c r="A2896" s="1"/>
      <c r="C2896" s="1"/>
      <c r="G2896" s="1"/>
      <c r="H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</row>
    <row r="2897" spans="1:19" x14ac:dyDescent="0.2">
      <c r="A2897" s="1"/>
      <c r="C2897" s="1"/>
      <c r="G2897" s="1"/>
      <c r="H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</row>
    <row r="2898" spans="1:19" x14ac:dyDescent="0.2">
      <c r="A2898" s="1"/>
      <c r="C2898" s="1"/>
      <c r="G2898" s="1"/>
      <c r="H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</row>
    <row r="2899" spans="1:19" x14ac:dyDescent="0.2">
      <c r="A2899" s="1"/>
      <c r="C2899" s="1"/>
      <c r="G2899" s="1"/>
      <c r="H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</row>
    <row r="2900" spans="1:19" x14ac:dyDescent="0.2">
      <c r="A2900" s="1"/>
      <c r="C2900" s="1"/>
      <c r="G2900" s="1"/>
      <c r="H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</row>
    <row r="2901" spans="1:19" x14ac:dyDescent="0.2">
      <c r="A2901" s="1"/>
      <c r="C2901" s="1"/>
      <c r="G2901" s="1"/>
      <c r="H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</row>
    <row r="2902" spans="1:19" x14ac:dyDescent="0.2">
      <c r="A2902" s="1"/>
      <c r="C2902" s="1"/>
      <c r="G2902" s="1"/>
      <c r="H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</row>
    <row r="2903" spans="1:19" x14ac:dyDescent="0.2">
      <c r="A2903" s="1"/>
      <c r="C2903" s="1"/>
      <c r="G2903" s="1"/>
      <c r="H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</row>
    <row r="2904" spans="1:19" x14ac:dyDescent="0.2">
      <c r="A2904" s="1"/>
      <c r="C2904" s="1"/>
      <c r="G2904" s="1"/>
      <c r="H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</row>
    <row r="2905" spans="1:19" x14ac:dyDescent="0.2">
      <c r="A2905" s="1"/>
      <c r="C2905" s="1"/>
      <c r="G2905" s="1"/>
      <c r="H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</row>
    <row r="2906" spans="1:19" x14ac:dyDescent="0.2">
      <c r="A2906" s="1"/>
      <c r="C2906" s="1"/>
      <c r="G2906" s="1"/>
      <c r="H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</row>
    <row r="2907" spans="1:19" x14ac:dyDescent="0.2">
      <c r="A2907" s="1"/>
      <c r="C2907" s="1"/>
      <c r="G2907" s="1"/>
      <c r="H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</row>
    <row r="2908" spans="1:19" x14ac:dyDescent="0.2">
      <c r="A2908" s="1"/>
      <c r="C2908" s="1"/>
      <c r="G2908" s="1"/>
      <c r="H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</row>
    <row r="2909" spans="1:19" x14ac:dyDescent="0.2">
      <c r="A2909" s="1"/>
      <c r="C2909" s="1"/>
      <c r="G2909" s="1"/>
      <c r="H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</row>
    <row r="2910" spans="1:19" x14ac:dyDescent="0.2">
      <c r="A2910" s="1"/>
      <c r="C2910" s="1"/>
      <c r="G2910" s="1"/>
      <c r="H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</row>
    <row r="2911" spans="1:19" x14ac:dyDescent="0.2">
      <c r="A2911" s="1"/>
      <c r="C2911" s="1"/>
      <c r="G2911" s="1"/>
      <c r="H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</row>
    <row r="2912" spans="1:19" x14ac:dyDescent="0.2">
      <c r="A2912" s="1"/>
      <c r="C2912" s="1"/>
      <c r="G2912" s="1"/>
      <c r="H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</row>
    <row r="2913" spans="1:19" x14ac:dyDescent="0.2">
      <c r="A2913" s="1"/>
      <c r="C2913" s="1"/>
      <c r="G2913" s="1"/>
      <c r="H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</row>
    <row r="2914" spans="1:19" x14ac:dyDescent="0.2">
      <c r="A2914" s="1"/>
      <c r="C2914" s="1"/>
      <c r="G2914" s="1"/>
      <c r="H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</row>
    <row r="2915" spans="1:19" x14ac:dyDescent="0.2">
      <c r="A2915" s="1"/>
      <c r="C2915" s="1"/>
      <c r="G2915" s="1"/>
      <c r="H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</row>
    <row r="2916" spans="1:19" x14ac:dyDescent="0.2">
      <c r="A2916" s="1"/>
      <c r="C2916" s="1"/>
      <c r="G2916" s="1"/>
      <c r="H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</row>
    <row r="2917" spans="1:19" x14ac:dyDescent="0.2">
      <c r="A2917" s="1"/>
      <c r="C2917" s="1"/>
      <c r="G2917" s="1"/>
      <c r="H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</row>
    <row r="2918" spans="1:19" x14ac:dyDescent="0.2">
      <c r="A2918" s="1"/>
      <c r="C2918" s="1"/>
      <c r="G2918" s="1"/>
      <c r="H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</row>
    <row r="2919" spans="1:19" x14ac:dyDescent="0.2">
      <c r="A2919" s="1"/>
      <c r="C2919" s="1"/>
      <c r="G2919" s="1"/>
      <c r="H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</row>
    <row r="2920" spans="1:19" x14ac:dyDescent="0.2">
      <c r="A2920" s="1"/>
      <c r="C2920" s="1"/>
      <c r="G2920" s="1"/>
      <c r="H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</row>
    <row r="2921" spans="1:19" x14ac:dyDescent="0.2">
      <c r="A2921" s="1"/>
      <c r="C2921" s="1"/>
      <c r="G2921" s="1"/>
      <c r="H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</row>
    <row r="2922" spans="1:19" x14ac:dyDescent="0.2">
      <c r="A2922" s="1"/>
      <c r="C2922" s="1"/>
      <c r="G2922" s="1"/>
      <c r="H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</row>
    <row r="2923" spans="1:19" x14ac:dyDescent="0.2">
      <c r="A2923" s="1"/>
      <c r="C2923" s="1"/>
      <c r="G2923" s="1"/>
      <c r="H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</row>
    <row r="2924" spans="1:19" x14ac:dyDescent="0.2">
      <c r="A2924" s="1"/>
      <c r="C2924" s="1"/>
      <c r="G2924" s="1"/>
      <c r="H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</row>
    <row r="2925" spans="1:19" x14ac:dyDescent="0.2">
      <c r="A2925" s="1"/>
      <c r="C2925" s="1"/>
      <c r="G2925" s="1"/>
      <c r="H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</row>
    <row r="2926" spans="1:19" x14ac:dyDescent="0.2">
      <c r="A2926" s="1"/>
      <c r="C2926" s="1"/>
      <c r="G2926" s="1"/>
      <c r="H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</row>
    <row r="2927" spans="1:19" x14ac:dyDescent="0.2">
      <c r="A2927" s="1"/>
      <c r="C2927" s="1"/>
      <c r="G2927" s="1"/>
      <c r="H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</row>
    <row r="2928" spans="1:19" x14ac:dyDescent="0.2">
      <c r="A2928" s="1"/>
      <c r="C2928" s="1"/>
      <c r="G2928" s="1"/>
      <c r="H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</row>
    <row r="2929" spans="1:19" x14ac:dyDescent="0.2">
      <c r="A2929" s="1"/>
      <c r="C2929" s="1"/>
      <c r="G2929" s="1"/>
      <c r="H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</row>
    <row r="2930" spans="1:19" x14ac:dyDescent="0.2">
      <c r="A2930" s="1"/>
      <c r="C2930" s="1"/>
      <c r="G2930" s="1"/>
      <c r="H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</row>
    <row r="2931" spans="1:19" x14ac:dyDescent="0.2">
      <c r="A2931" s="1"/>
      <c r="C2931" s="1"/>
      <c r="G2931" s="1"/>
      <c r="H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</row>
    <row r="2932" spans="1:19" x14ac:dyDescent="0.2">
      <c r="A2932" s="1"/>
      <c r="C2932" s="1"/>
      <c r="G2932" s="1"/>
      <c r="H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</row>
    <row r="2933" spans="1:19" x14ac:dyDescent="0.2">
      <c r="A2933" s="1"/>
      <c r="C2933" s="1"/>
      <c r="G2933" s="1"/>
      <c r="H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</row>
    <row r="2934" spans="1:19" x14ac:dyDescent="0.2">
      <c r="A2934" s="1"/>
      <c r="C2934" s="1"/>
      <c r="G2934" s="1"/>
      <c r="H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</row>
    <row r="2935" spans="1:19" x14ac:dyDescent="0.2">
      <c r="A2935" s="1"/>
      <c r="C2935" s="1"/>
      <c r="G2935" s="1"/>
      <c r="H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</row>
    <row r="2936" spans="1:19" x14ac:dyDescent="0.2">
      <c r="A2936" s="1"/>
      <c r="C2936" s="1"/>
      <c r="G2936" s="1"/>
      <c r="H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</row>
    <row r="2937" spans="1:19" x14ac:dyDescent="0.2">
      <c r="A2937" s="1"/>
      <c r="C2937" s="1"/>
      <c r="G2937" s="1"/>
      <c r="H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</row>
    <row r="2938" spans="1:19" x14ac:dyDescent="0.2">
      <c r="A2938" s="1"/>
      <c r="C2938" s="1"/>
      <c r="G2938" s="1"/>
      <c r="H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</row>
    <row r="2939" spans="1:19" x14ac:dyDescent="0.2">
      <c r="A2939" s="1"/>
      <c r="C2939" s="1"/>
      <c r="G2939" s="1"/>
      <c r="H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</row>
    <row r="2940" spans="1:19" x14ac:dyDescent="0.2">
      <c r="A2940" s="1"/>
      <c r="C2940" s="1"/>
      <c r="G2940" s="1"/>
      <c r="H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</row>
    <row r="2941" spans="1:19" x14ac:dyDescent="0.2">
      <c r="A2941" s="1"/>
      <c r="C2941" s="1"/>
      <c r="G2941" s="1"/>
      <c r="H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</row>
    <row r="2942" spans="1:19" x14ac:dyDescent="0.2">
      <c r="A2942" s="1"/>
      <c r="C2942" s="1"/>
      <c r="G2942" s="1"/>
      <c r="H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</row>
    <row r="2943" spans="1:19" x14ac:dyDescent="0.2">
      <c r="A2943" s="1"/>
      <c r="C2943" s="1"/>
      <c r="G2943" s="1"/>
      <c r="H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</row>
    <row r="2944" spans="1:19" x14ac:dyDescent="0.2">
      <c r="A2944" s="1"/>
      <c r="C2944" s="1"/>
      <c r="G2944" s="1"/>
      <c r="H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</row>
    <row r="2945" spans="1:19" x14ac:dyDescent="0.2">
      <c r="A2945" s="1"/>
      <c r="C2945" s="1"/>
      <c r="G2945" s="1"/>
      <c r="H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</row>
    <row r="2946" spans="1:19" x14ac:dyDescent="0.2">
      <c r="A2946" s="1"/>
      <c r="C2946" s="1"/>
      <c r="G2946" s="1"/>
      <c r="H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</row>
    <row r="2947" spans="1:19" x14ac:dyDescent="0.2">
      <c r="A2947" s="1"/>
      <c r="C2947" s="1"/>
      <c r="G2947" s="1"/>
      <c r="H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</row>
    <row r="2948" spans="1:19" x14ac:dyDescent="0.2">
      <c r="A2948" s="1"/>
      <c r="C2948" s="1"/>
      <c r="G2948" s="1"/>
      <c r="H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</row>
    <row r="2949" spans="1:19" x14ac:dyDescent="0.2">
      <c r="A2949" s="1"/>
      <c r="C2949" s="1"/>
      <c r="G2949" s="1"/>
      <c r="H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</row>
    <row r="2950" spans="1:19" x14ac:dyDescent="0.2">
      <c r="A2950" s="1"/>
      <c r="C2950" s="1"/>
      <c r="G2950" s="1"/>
      <c r="H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</row>
    <row r="2951" spans="1:19" x14ac:dyDescent="0.2">
      <c r="A2951" s="1"/>
      <c r="C2951" s="1"/>
      <c r="G2951" s="1"/>
      <c r="H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</row>
    <row r="2952" spans="1:19" x14ac:dyDescent="0.2">
      <c r="A2952" s="1"/>
      <c r="C2952" s="1"/>
      <c r="G2952" s="1"/>
      <c r="H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</row>
    <row r="2953" spans="1:19" x14ac:dyDescent="0.2">
      <c r="A2953" s="1"/>
      <c r="C2953" s="1"/>
      <c r="G2953" s="1"/>
      <c r="H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</row>
    <row r="2954" spans="1:19" x14ac:dyDescent="0.2">
      <c r="A2954" s="1"/>
      <c r="C2954" s="1"/>
      <c r="G2954" s="1"/>
      <c r="H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EEE4-33EB-DC4C-80EE-8241EBC31D98}">
  <dimension ref="A1:B26"/>
  <sheetViews>
    <sheetView tabSelected="1" zoomScale="125" workbookViewId="0">
      <selection activeCell="B22" sqref="B22"/>
    </sheetView>
  </sheetViews>
  <sheetFormatPr baseColWidth="10" defaultRowHeight="16" x14ac:dyDescent="0.2"/>
  <cols>
    <col min="1" max="1" width="43.5" customWidth="1"/>
    <col min="2" max="2" width="87" bestFit="1" customWidth="1"/>
  </cols>
  <sheetData>
    <row r="1" spans="1:2" x14ac:dyDescent="0.2">
      <c r="A1" s="6" t="s">
        <v>282</v>
      </c>
      <c r="B1" s="6" t="s">
        <v>283</v>
      </c>
    </row>
    <row r="2" spans="1:2" x14ac:dyDescent="0.2">
      <c r="A2" s="4" t="s">
        <v>0</v>
      </c>
      <c r="B2" t="s">
        <v>141</v>
      </c>
    </row>
    <row r="3" spans="1:2" x14ac:dyDescent="0.2">
      <c r="A3" s="4" t="s">
        <v>151</v>
      </c>
      <c r="B3" t="s">
        <v>142</v>
      </c>
    </row>
    <row r="4" spans="1:2" x14ac:dyDescent="0.2">
      <c r="A4" s="4" t="s">
        <v>143</v>
      </c>
      <c r="B4" t="s">
        <v>143</v>
      </c>
    </row>
    <row r="5" spans="1:2" x14ac:dyDescent="0.2">
      <c r="A5" s="4" t="s">
        <v>1</v>
      </c>
      <c r="B5" t="s">
        <v>1</v>
      </c>
    </row>
    <row r="6" spans="1:2" x14ac:dyDescent="0.2">
      <c r="A6" s="4" t="s">
        <v>2</v>
      </c>
      <c r="B6" t="s">
        <v>2</v>
      </c>
    </row>
    <row r="7" spans="1:2" x14ac:dyDescent="0.2">
      <c r="A7" s="4" t="s">
        <v>3</v>
      </c>
      <c r="B7" t="s">
        <v>3</v>
      </c>
    </row>
    <row r="8" spans="1:2" x14ac:dyDescent="0.2">
      <c r="A8" s="4" t="s">
        <v>152</v>
      </c>
      <c r="B8" t="s">
        <v>274</v>
      </c>
    </row>
    <row r="9" spans="1:2" x14ac:dyDescent="0.2">
      <c r="A9" s="4" t="s">
        <v>153</v>
      </c>
      <c r="B9" t="s">
        <v>275</v>
      </c>
    </row>
    <row r="10" spans="1:2" x14ac:dyDescent="0.2">
      <c r="A10" s="4" t="s">
        <v>154</v>
      </c>
      <c r="B10" t="s">
        <v>144</v>
      </c>
    </row>
    <row r="11" spans="1:2" x14ac:dyDescent="0.2">
      <c r="A11" s="4" t="s">
        <v>4</v>
      </c>
      <c r="B11" t="s">
        <v>137</v>
      </c>
    </row>
    <row r="12" spans="1:2" x14ac:dyDescent="0.2">
      <c r="A12" s="4" t="s">
        <v>5</v>
      </c>
      <c r="B12" t="s">
        <v>138</v>
      </c>
    </row>
    <row r="13" spans="1:2" x14ac:dyDescent="0.2">
      <c r="A13" s="4" t="s">
        <v>155</v>
      </c>
      <c r="B13" t="s">
        <v>139</v>
      </c>
    </row>
    <row r="14" spans="1:2" x14ac:dyDescent="0.2">
      <c r="A14" s="4" t="s">
        <v>156</v>
      </c>
      <c r="B14" t="s">
        <v>140</v>
      </c>
    </row>
    <row r="15" spans="1:2" x14ac:dyDescent="0.2">
      <c r="A15" s="4" t="s">
        <v>157</v>
      </c>
      <c r="B15" t="s">
        <v>145</v>
      </c>
    </row>
    <row r="16" spans="1:2" x14ac:dyDescent="0.2">
      <c r="A16" s="4" t="s">
        <v>158</v>
      </c>
      <c r="B16" t="s">
        <v>146</v>
      </c>
    </row>
    <row r="17" spans="1:2" x14ac:dyDescent="0.2">
      <c r="A17" s="4" t="s">
        <v>159</v>
      </c>
      <c r="B17" t="s">
        <v>147</v>
      </c>
    </row>
    <row r="18" spans="1:2" x14ac:dyDescent="0.2">
      <c r="A18" s="4" t="s">
        <v>160</v>
      </c>
      <c r="B18" t="s">
        <v>148</v>
      </c>
    </row>
    <row r="19" spans="1:2" x14ac:dyDescent="0.2">
      <c r="A19" s="4" t="s">
        <v>161</v>
      </c>
      <c r="B19" t="s">
        <v>149</v>
      </c>
    </row>
    <row r="20" spans="1:2" x14ac:dyDescent="0.2">
      <c r="A20" s="4" t="s">
        <v>162</v>
      </c>
      <c r="B20" t="s">
        <v>150</v>
      </c>
    </row>
    <row r="21" spans="1:2" x14ac:dyDescent="0.2">
      <c r="A21" s="4" t="s">
        <v>163</v>
      </c>
      <c r="B21" t="s">
        <v>284</v>
      </c>
    </row>
    <row r="22" spans="1:2" x14ac:dyDescent="0.2">
      <c r="A22" s="4" t="s">
        <v>164</v>
      </c>
      <c r="B22" t="s">
        <v>281</v>
      </c>
    </row>
    <row r="23" spans="1:2" x14ac:dyDescent="0.2">
      <c r="A23" s="4" t="s">
        <v>165</v>
      </c>
      <c r="B23" t="s">
        <v>277</v>
      </c>
    </row>
    <row r="24" spans="1:2" x14ac:dyDescent="0.2">
      <c r="A24" s="4" t="s">
        <v>166</v>
      </c>
      <c r="B24" t="s">
        <v>278</v>
      </c>
    </row>
    <row r="25" spans="1:2" x14ac:dyDescent="0.2">
      <c r="A25" s="4" t="s">
        <v>167</v>
      </c>
      <c r="B25" t="s">
        <v>279</v>
      </c>
    </row>
    <row r="26" spans="1:2" x14ac:dyDescent="0.2">
      <c r="A26" s="7" t="s">
        <v>276</v>
      </c>
      <c r="B26" s="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Stiletto</dc:creator>
  <cp:lastModifiedBy>Alice Stiletto</cp:lastModifiedBy>
  <dcterms:created xsi:type="dcterms:W3CDTF">2025-12-23T11:26:15Z</dcterms:created>
  <dcterms:modified xsi:type="dcterms:W3CDTF">2025-12-23T19:52:43Z</dcterms:modified>
</cp:coreProperties>
</file>